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 Presupuesto" sheetId="1" state="visible" r:id="rId1"/>
    <sheet xmlns:r="http://schemas.openxmlformats.org/officeDocument/2006/relationships" name="Gastos anuales" sheetId="2" state="visible" r:id="rId2"/>
    <sheet xmlns:r="http://schemas.openxmlformats.org/officeDocument/2006/relationships" name="Cómo usarl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%"/>
    <numFmt numFmtId="166" formatCode="0.0&quot; meses&quot;"/>
  </numFmts>
  <fonts count="18">
    <font>
      <name val="Calibri"/>
      <family val="2"/>
      <color theme="1"/>
      <sz val="11"/>
      <scheme val="minor"/>
    </font>
    <font>
      <b val="1"/>
      <color rgb="001B365D"/>
      <sz val="18"/>
    </font>
    <font>
      <i val="1"/>
      <color rgb="0064748B"/>
      <sz val="10"/>
    </font>
    <font>
      <b val="1"/>
      <color rgb="001B365D"/>
    </font>
    <font>
      <i val="1"/>
      <color rgb="0064748B"/>
      <sz val="9"/>
    </font>
    <font>
      <b val="1"/>
      <color rgb="00FFFFFF"/>
      <sz val="12"/>
    </font>
    <font>
      <b val="1"/>
      <color rgb="001B365D"/>
      <sz val="10"/>
    </font>
    <font>
      <color rgb="0064748B"/>
      <sz val="9"/>
    </font>
    <font>
      <b val="1"/>
    </font>
    <font>
      <b val="1"/>
      <sz val="12"/>
    </font>
    <font>
      <color rgb="00475569"/>
      <sz val="10"/>
    </font>
    <font>
      <b val="1"/>
      <color rgb="001B365D"/>
      <sz val="14"/>
    </font>
    <font>
      <b val="1"/>
      <color rgb="00FFFFFF"/>
    </font>
    <font>
      <b val="1"/>
      <color rgb="001B365D"/>
      <sz val="16"/>
    </font>
    <font>
      <sz val="11"/>
    </font>
    <font>
      <color rgb="00475569"/>
      <sz val="11"/>
    </font>
    <font>
      <b val="1"/>
      <color rgb="00047857"/>
      <sz val="11"/>
    </font>
    <font>
      <b val="1"/>
      <color rgb="001B365D"/>
      <sz val="11"/>
    </font>
  </fonts>
  <fills count="10">
    <fill>
      <patternFill/>
    </fill>
    <fill>
      <patternFill patternType="gray125"/>
    </fill>
    <fill>
      <patternFill patternType="solid">
        <fgColor rgb="00F1F5F9"/>
      </patternFill>
    </fill>
    <fill>
      <patternFill patternType="solid">
        <fgColor rgb="001B365D"/>
      </patternFill>
    </fill>
    <fill>
      <patternFill patternType="solid">
        <fgColor rgb="00E8F6FA"/>
      </patternFill>
    </fill>
    <fill>
      <patternFill patternType="solid">
        <fgColor rgb="0063B7CC"/>
      </patternFill>
    </fill>
    <fill>
      <patternFill patternType="solid">
        <fgColor rgb="00334155"/>
      </patternFill>
    </fill>
    <fill>
      <patternFill patternType="solid">
        <fgColor rgb="0010B981"/>
      </patternFill>
    </fill>
    <fill>
      <patternFill patternType="solid">
        <fgColor rgb="00ECFDF5"/>
      </patternFill>
    </fill>
    <fill>
      <patternFill patternType="solid">
        <fgColor rgb="00FFF7D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4" fillId="0" borderId="0" pivotButton="0" quotePrefix="0" xfId="0"/>
    <xf numFmtId="0" fontId="5" fillId="3" borderId="0" applyAlignment="1" pivotButton="0" quotePrefix="0" xfId="0">
      <alignment vertical="center" indent="1"/>
    </xf>
    <xf numFmtId="0" fontId="6" fillId="4" borderId="1" pivotButton="0" quotePrefix="0" xfId="0"/>
    <xf numFmtId="0" fontId="0" fillId="0" borderId="1" pivotButton="0" quotePrefix="0" xfId="0"/>
    <xf numFmtId="164" fontId="0" fillId="2" borderId="1" pivotButton="0" quotePrefix="0" xfId="0"/>
    <xf numFmtId="0" fontId="7" fillId="0" borderId="1" pivotButton="0" quotePrefix="0" xfId="0"/>
    <xf numFmtId="164" fontId="3" fillId="0" borderId="0" pivotButton="0" quotePrefix="0" xfId="0"/>
    <xf numFmtId="0" fontId="5" fillId="5" borderId="0" applyAlignment="1" pivotButton="0" quotePrefix="0" xfId="0">
      <alignment vertical="center" indent="1"/>
    </xf>
    <xf numFmtId="0" fontId="5" fillId="6" borderId="0" applyAlignment="1" pivotButton="0" quotePrefix="0" xfId="0">
      <alignment vertical="center" indent="1"/>
    </xf>
    <xf numFmtId="0" fontId="5" fillId="7" borderId="0" applyAlignment="1" pivotButton="0" quotePrefix="0" xfId="0">
      <alignment vertical="center" indent="1"/>
    </xf>
    <xf numFmtId="0" fontId="6" fillId="8" borderId="1" pivotButton="0" quotePrefix="0" xfId="0"/>
    <xf numFmtId="0" fontId="8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0" fillId="4" borderId="1" pivotButton="0" quotePrefix="0" xfId="0"/>
    <xf numFmtId="0" fontId="8" fillId="9" borderId="1" pivotButton="0" quotePrefix="0" xfId="0"/>
    <xf numFmtId="164" fontId="0" fillId="9" borderId="1" pivotButton="0" quotePrefix="0" xfId="0"/>
    <xf numFmtId="165" fontId="0" fillId="9" borderId="1" pivotButton="0" quotePrefix="0" xfId="0"/>
    <xf numFmtId="0" fontId="0" fillId="9" borderId="1" pivotButton="0" quotePrefix="0" xfId="0"/>
    <xf numFmtId="0" fontId="8" fillId="8" borderId="1" pivotButton="0" quotePrefix="0" xfId="0"/>
    <xf numFmtId="164" fontId="0" fillId="8" borderId="1" pivotButton="0" quotePrefix="0" xfId="0"/>
    <xf numFmtId="165" fontId="0" fillId="8" borderId="1" pivotButton="0" quotePrefix="0" xfId="0"/>
    <xf numFmtId="0" fontId="0" fillId="8" borderId="1" pivotButton="0" quotePrefix="0" xfId="0"/>
    <xf numFmtId="164" fontId="9" fillId="0" borderId="0" pivotButton="0" quotePrefix="0" xfId="0"/>
    <xf numFmtId="0" fontId="10" fillId="0" borderId="0" pivotButton="0" quotePrefix="0" xfId="0"/>
    <xf numFmtId="166" fontId="0" fillId="0" borderId="0" pivotButton="0" quotePrefix="0" xfId="0"/>
    <xf numFmtId="0" fontId="11" fillId="0" borderId="0" pivotButton="0" quotePrefix="0" xfId="0"/>
    <xf numFmtId="0" fontId="12" fillId="3" borderId="0" pivotButton="0" quotePrefix="0" xfId="0"/>
    <xf numFmtId="164" fontId="0" fillId="0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dxfs count="2">
    <dxf>
      <font>
        <b val="1"/>
        <color rgb="00B91C1C"/>
      </font>
    </dxf>
    <dxf>
      <font>
        <b val="1"/>
        <color rgb="0004785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de tus gastos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3B7CC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A8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cat>
            <numRef>
              <f>'Mi Presupuesto'!$B$46:$B$48</f>
            </numRef>
          </cat>
          <val>
            <numRef>
              <f>'Mi Presupuesto'!$C$46:$C$48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0</row>
      <rowOff>0</rowOff>
    </from>
    <ext cx="1809750" cy="695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5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20" customWidth="1" min="4" max="4"/>
    <col width="30" customWidth="1" min="5" max="5"/>
    <col width="3" customWidth="1" min="6" max="6"/>
  </cols>
  <sheetData>
    <row r="1" ht="30" customHeight="1">
      <c r="D1" s="1" t="inlineStr">
        <is>
          <t>Mi Presupuesto 50/30/20</t>
        </is>
      </c>
    </row>
    <row r="2" ht="30" customHeight="1">
      <c r="D2" s="2" t="inlineStr">
        <is>
          <t>Educación Financiera • Rosed Asesores</t>
        </is>
      </c>
    </row>
    <row r="4">
      <c r="B4" s="3" t="inlineStr">
        <is>
          <t>Mes:</t>
        </is>
      </c>
      <c r="C4" s="4" t="n"/>
      <c r="E4" s="5" t="inlineStr">
        <is>
          <t>✏️ Llena solo las celdas grises.</t>
        </is>
      </c>
    </row>
    <row r="6" ht="22" customHeight="1">
      <c r="B6" s="6" t="inlineStr">
        <is>
          <t>1 · INGRESOS FIJOS (base para el 50/30/20)</t>
        </is>
      </c>
    </row>
    <row r="7">
      <c r="B7" s="7" t="inlineStr">
        <is>
          <t>Concepto</t>
        </is>
      </c>
      <c r="C7" s="7" t="inlineStr">
        <is>
          <t>Monto mensual</t>
        </is>
      </c>
      <c r="D7" s="7" t="inlineStr"/>
      <c r="E7" s="7" t="inlineStr">
        <is>
          <t>Nota</t>
        </is>
      </c>
    </row>
    <row r="8">
      <c r="B8" s="8" t="inlineStr">
        <is>
          <t>Sueldo / salario</t>
        </is>
      </c>
      <c r="C8" s="9" t="n"/>
      <c r="E8" s="10" t="inlineStr"/>
    </row>
    <row r="9">
      <c r="B9" s="8" t="inlineStr">
        <is>
          <t>Ingreso fijo adicional</t>
        </is>
      </c>
      <c r="C9" s="9" t="n"/>
      <c r="E9" s="10" t="inlineStr"/>
    </row>
    <row r="10">
      <c r="B10" s="8" t="inlineStr">
        <is>
          <t>Otro ingreso fijo</t>
        </is>
      </c>
      <c r="C10" s="9" t="n"/>
      <c r="E10" s="10" t="inlineStr"/>
    </row>
    <row r="11">
      <c r="B11" s="3" t="inlineStr">
        <is>
          <t>Total ingresos fijos</t>
        </is>
      </c>
      <c r="C11" s="11">
        <f>SUM(C8:C10)</f>
        <v/>
      </c>
    </row>
    <row r="13" ht="22" customHeight="1">
      <c r="B13" s="12" t="inlineStr">
        <is>
          <t>2 · INGRESOS VARIABLES (¡ahórralos!)</t>
        </is>
      </c>
    </row>
    <row r="14">
      <c r="B14" s="7" t="inlineStr">
        <is>
          <t>Concepto</t>
        </is>
      </c>
      <c r="C14" s="7" t="inlineStr">
        <is>
          <t>Monto mensual</t>
        </is>
      </c>
      <c r="D14" s="7" t="inlineStr"/>
      <c r="E14" s="7" t="inlineStr">
        <is>
          <t>Nota</t>
        </is>
      </c>
    </row>
    <row r="15">
      <c r="B15" s="8" t="inlineStr">
        <is>
          <t>Freelance / trabajos extra</t>
        </is>
      </c>
      <c r="C15" s="9" t="n"/>
      <c r="E15" s="10" t="inlineStr">
        <is>
          <t>No cuentan para el cálculo de %</t>
        </is>
      </c>
    </row>
    <row r="16">
      <c r="B16" s="8" t="inlineStr">
        <is>
          <t>Bonos / comisiones</t>
        </is>
      </c>
      <c r="C16" s="9" t="n"/>
      <c r="E16" s="10" t="inlineStr">
        <is>
          <t>No cuentan para el cálculo de %</t>
        </is>
      </c>
    </row>
    <row r="17">
      <c r="B17" s="8" t="inlineStr">
        <is>
          <t>Ventas / otros</t>
        </is>
      </c>
      <c r="C17" s="9" t="n"/>
      <c r="E17" s="10" t="inlineStr">
        <is>
          <t>No cuentan para el cálculo de %</t>
        </is>
      </c>
    </row>
    <row r="18">
      <c r="B18" s="3" t="inlineStr">
        <is>
          <t>Total ingresos variables</t>
        </is>
      </c>
      <c r="C18" s="11">
        <f>SUM(C15:C17)</f>
        <v/>
      </c>
    </row>
    <row r="20" ht="22" customHeight="1">
      <c r="B20" s="13" t="inlineStr">
        <is>
          <t>3 · EGRESOS (todos tus gastos)</t>
        </is>
      </c>
    </row>
    <row r="21">
      <c r="B21" s="7" t="inlineStr">
        <is>
          <t>Concepto</t>
        </is>
      </c>
      <c r="C21" s="7" t="inlineStr">
        <is>
          <t>Monto mensual</t>
        </is>
      </c>
      <c r="D21" s="7" t="inlineStr">
        <is>
          <t>Categoría</t>
        </is>
      </c>
      <c r="E21" s="7" t="inlineStr">
        <is>
          <t>Nota</t>
        </is>
      </c>
    </row>
    <row r="22">
      <c r="B22" s="8" t="inlineStr">
        <is>
          <t>Alquiler / vivienda</t>
        </is>
      </c>
      <c r="C22" s="9" t="n"/>
      <c r="D22" s="4" t="inlineStr">
        <is>
          <t>Necesidades</t>
        </is>
      </c>
      <c r="E22" s="10" t="inlineStr"/>
    </row>
    <row r="23">
      <c r="B23" s="8" t="inlineStr">
        <is>
          <t>Mercado / comida</t>
        </is>
      </c>
      <c r="C23" s="9" t="n"/>
      <c r="D23" s="4" t="inlineStr">
        <is>
          <t>Necesidades</t>
        </is>
      </c>
      <c r="E23" s="10" t="inlineStr"/>
    </row>
    <row r="24">
      <c r="B24" s="8" t="inlineStr">
        <is>
          <t>Transporte / gasolina</t>
        </is>
      </c>
      <c r="C24" s="9" t="n"/>
      <c r="D24" s="4" t="inlineStr">
        <is>
          <t>Necesidades</t>
        </is>
      </c>
      <c r="E24" s="10" t="inlineStr"/>
    </row>
    <row r="25">
      <c r="B25" s="8" t="inlineStr">
        <is>
          <t>Servicios (luz, agua, gas)</t>
        </is>
      </c>
      <c r="C25" s="9" t="n"/>
      <c r="D25" s="4" t="inlineStr">
        <is>
          <t>Necesidades</t>
        </is>
      </c>
      <c r="E25" s="10" t="inlineStr"/>
    </row>
    <row r="26">
      <c r="B26" s="8" t="inlineStr">
        <is>
          <t>Internet y plan de datos</t>
        </is>
      </c>
      <c r="C26" s="9" t="n"/>
      <c r="D26" s="4" t="inlineStr">
        <is>
          <t>Necesidades</t>
        </is>
      </c>
      <c r="E26" s="10" t="inlineStr"/>
    </row>
    <row r="27">
      <c r="B27" s="8" t="inlineStr">
        <is>
          <t>Seguro de salud / póliza</t>
        </is>
      </c>
      <c r="C27" s="9" t="n"/>
      <c r="D27" s="4" t="inlineStr">
        <is>
          <t>Necesidades</t>
        </is>
      </c>
      <c r="E27" s="10" t="inlineStr"/>
    </row>
    <row r="28">
      <c r="B28" s="8" t="inlineStr">
        <is>
          <t>Estudios / cursos</t>
        </is>
      </c>
      <c r="C28" s="9" t="n"/>
      <c r="D28" s="4" t="inlineStr">
        <is>
          <t>Necesidades</t>
        </is>
      </c>
      <c r="E28" s="10" t="inlineStr"/>
    </row>
    <row r="29">
      <c r="B29" s="8" t="inlineStr">
        <is>
          <t>Deudas / cuotas</t>
        </is>
      </c>
      <c r="C29" s="9" t="n"/>
      <c r="D29" s="4" t="inlineStr">
        <is>
          <t>Necesidades</t>
        </is>
      </c>
      <c r="E29" s="10" t="inlineStr"/>
    </row>
    <row r="30">
      <c r="B30" s="8" t="inlineStr">
        <is>
          <t>Salidas y restaurantes</t>
        </is>
      </c>
      <c r="C30" s="9" t="n"/>
      <c r="D30" s="4" t="inlineStr">
        <is>
          <t>Gustos</t>
        </is>
      </c>
      <c r="E30" s="10" t="inlineStr"/>
    </row>
    <row r="31">
      <c r="B31" s="8" t="inlineStr">
        <is>
          <t>Delivery</t>
        </is>
      </c>
      <c r="C31" s="9" t="n"/>
      <c r="D31" s="4" t="inlineStr">
        <is>
          <t>Gustos</t>
        </is>
      </c>
      <c r="E31" s="10" t="inlineStr"/>
    </row>
    <row r="32">
      <c r="B32" s="8" t="inlineStr">
        <is>
          <t>Streaming y suscripciones</t>
        </is>
      </c>
      <c r="C32" s="9" t="n"/>
      <c r="D32" s="4" t="inlineStr">
        <is>
          <t>Gustos</t>
        </is>
      </c>
      <c r="E32" s="10" t="inlineStr"/>
    </row>
    <row r="33">
      <c r="B33" s="8" t="inlineStr">
        <is>
          <t>Ropa y compras personales</t>
        </is>
      </c>
      <c r="C33" s="9" t="n"/>
      <c r="D33" s="4" t="inlineStr">
        <is>
          <t>Gustos</t>
        </is>
      </c>
      <c r="E33" s="10" t="inlineStr"/>
    </row>
    <row r="34">
      <c r="B34" s="8" t="inlineStr">
        <is>
          <t>Viajes / hobbies</t>
        </is>
      </c>
      <c r="C34" s="9" t="n"/>
      <c r="D34" s="4" t="inlineStr">
        <is>
          <t>Gustos</t>
        </is>
      </c>
      <c r="E34" s="10" t="inlineStr"/>
    </row>
    <row r="35">
      <c r="B35" s="8" t="inlineStr">
        <is>
          <t>Gimnasio</t>
        </is>
      </c>
      <c r="C35" s="9" t="n"/>
      <c r="D35" s="4" t="inlineStr">
        <is>
          <t>Gustos</t>
        </is>
      </c>
      <c r="E35" s="10" t="inlineStr"/>
    </row>
    <row r="36">
      <c r="B36" s="8" t="inlineStr">
        <is>
          <t>Fondo de emergencia</t>
        </is>
      </c>
      <c r="C36" s="9" t="n"/>
      <c r="D36" s="4" t="inlineStr">
        <is>
          <t>Ahorro</t>
        </is>
      </c>
      <c r="E36" s="10" t="inlineStr"/>
    </row>
    <row r="37">
      <c r="B37" s="8" t="inlineStr">
        <is>
          <t>Fondo de retiro / largo plazo</t>
        </is>
      </c>
      <c r="C37" s="9" t="n"/>
      <c r="D37" s="4" t="inlineStr">
        <is>
          <t>Ahorro</t>
        </is>
      </c>
      <c r="E37" s="10" t="inlineStr"/>
    </row>
    <row r="38">
      <c r="B38" s="4" t="inlineStr"/>
      <c r="C38" s="9" t="n"/>
      <c r="D38" s="4" t="inlineStr"/>
      <c r="E38" s="10" t="inlineStr"/>
    </row>
    <row r="39">
      <c r="B39" s="4" t="inlineStr"/>
      <c r="C39" s="9" t="n"/>
      <c r="D39" s="4" t="inlineStr"/>
      <c r="E39" s="10" t="inlineStr"/>
    </row>
    <row r="40">
      <c r="B40" s="4" t="inlineStr"/>
      <c r="C40" s="9" t="n"/>
      <c r="D40" s="4" t="inlineStr"/>
      <c r="E40" s="10" t="inlineStr"/>
    </row>
    <row r="41">
      <c r="B41" s="4" t="inlineStr"/>
      <c r="C41" s="9" t="n"/>
      <c r="D41" s="4" t="inlineStr"/>
      <c r="E41" s="10" t="inlineStr"/>
    </row>
    <row r="42">
      <c r="B42" s="3" t="inlineStr">
        <is>
          <t>Total egresos</t>
        </is>
      </c>
      <c r="C42" s="11">
        <f>SUM(C22:C41)</f>
        <v/>
      </c>
    </row>
    <row r="44" ht="22" customHeight="1">
      <c r="B44" s="14" t="inlineStr">
        <is>
          <t>4 · TU RESULTADO 50/30/20</t>
        </is>
      </c>
    </row>
    <row r="45">
      <c r="B45" s="15" t="inlineStr">
        <is>
          <t>Categoría</t>
        </is>
      </c>
      <c r="C45" s="15" t="inlineStr">
        <is>
          <t>Real</t>
        </is>
      </c>
      <c r="D45" s="15" t="inlineStr">
        <is>
          <t>% real</t>
        </is>
      </c>
      <c r="E45" s="15" t="inlineStr">
        <is>
          <t>Meta (monto · %)</t>
        </is>
      </c>
    </row>
    <row r="46">
      <c r="B46" s="16" t="inlineStr">
        <is>
          <t>Necesidades</t>
        </is>
      </c>
      <c r="C46" s="17">
        <f>SUMIF($D$22:$D$41,"Necesidades",$C$22:$C$41)</f>
        <v/>
      </c>
      <c r="D46" s="18">
        <f>IF(C11=0,0,C46/C11)</f>
        <v/>
      </c>
      <c r="E46" s="19">
        <f>TEXT(C11*0.5,"$#,##0.00")&amp;"  ·  50%"</f>
        <v/>
      </c>
    </row>
    <row r="47">
      <c r="B47" s="20" t="inlineStr">
        <is>
          <t>Gustos</t>
        </is>
      </c>
      <c r="C47" s="21">
        <f>SUMIF($D$22:$D$41,"Gustos",$C$22:$C$41)</f>
        <v/>
      </c>
      <c r="D47" s="22">
        <f>IF(C11=0,0,C47/C11)</f>
        <v/>
      </c>
      <c r="E47" s="23">
        <f>TEXT(C11*0.3,"$#,##0.00")&amp;"  ·  30%"</f>
        <v/>
      </c>
    </row>
    <row r="48">
      <c r="B48" s="24" t="inlineStr">
        <is>
          <t>Ahorro</t>
        </is>
      </c>
      <c r="C48" s="25">
        <f>SUMIF($D$22:$D$41,"Ahorro",$C$22:$C$41)</f>
        <v/>
      </c>
      <c r="D48" s="26">
        <f>IF(C11=0,0,C48/C11)</f>
        <v/>
      </c>
      <c r="E48" s="27">
        <f>TEXT(C11*0.2,"$#,##0.00")&amp;"  ·  20%"</f>
        <v/>
      </c>
    </row>
    <row r="50">
      <c r="B50" s="3" t="inlineStr">
        <is>
          <t>Balance (ingresos totales − egresos)</t>
        </is>
      </c>
      <c r="C50" s="28">
        <f>C11+C18-C42</f>
        <v/>
      </c>
      <c r="E50" s="3">
        <f>IF(C11=0,"Llena tus ingresos ☝️",IF(C50&lt;0,"⚠️ Gastas más de lo que ganas","✅ Ingresos &gt; Gastos"))</f>
        <v/>
      </c>
    </row>
    <row r="51">
      <c r="B51" s="29" t="inlineStr">
        <is>
          <t>Meses de gastos básicos que cubre tu ahorro anual</t>
        </is>
      </c>
      <c r="C51" s="30">
        <f>IF(C46=0,0,C48*12/C46)</f>
        <v/>
      </c>
    </row>
  </sheetData>
  <mergeCells count="4">
    <mergeCell ref="B13:E13"/>
    <mergeCell ref="B6:E6"/>
    <mergeCell ref="B44:E44"/>
    <mergeCell ref="B20:E20"/>
  </mergeCells>
  <conditionalFormatting sqref="D46">
    <cfRule type="cellIs" priority="1" operator="greaterThan" dxfId="0">
      <formula>0.5</formula>
    </cfRule>
    <cfRule type="cellIs" priority="2" operator="lessThanOrEqual" dxfId="1">
      <formula>0.5</formula>
    </cfRule>
  </conditionalFormatting>
  <conditionalFormatting sqref="D47">
    <cfRule type="cellIs" priority="3" operator="greaterThan" dxfId="0">
      <formula>0.3</formula>
    </cfRule>
    <cfRule type="cellIs" priority="4" operator="lessThanOrEqual" dxfId="1">
      <formula>0.3</formula>
    </cfRule>
  </conditionalFormatting>
  <conditionalFormatting sqref="D48">
    <cfRule type="cellIs" priority="5" operator="lessThan" dxfId="0">
      <formula>0.2</formula>
    </cfRule>
    <cfRule type="cellIs" priority="6" operator="greaterThanOrEqual" dxfId="1">
      <formula>0.2</formula>
    </cfRule>
  </conditionalFormatting>
  <conditionalFormatting sqref="C50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D22 D23 D24 D25 D26 D27 D28 D29 D30 D31 D32 D33 D34 D35 D36 D37 D38 D39 D40 D41" showDropDown="0" showInputMessage="0" showErrorMessage="0" allowBlank="1" error="Elige: Necesidades, Gustos o Ahorro" type="list">
      <formula1>"Necesidades,Gustos,Ahorro"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8" customWidth="1" min="3" max="3"/>
    <col width="18" customWidth="1" min="4" max="4"/>
  </cols>
  <sheetData>
    <row r="2">
      <c r="B2" s="31" t="inlineStr">
        <is>
          <t>Convierte gastos anuales a mensuales (÷ 12)</t>
        </is>
      </c>
    </row>
    <row r="4">
      <c r="B4" s="32" t="inlineStr">
        <is>
          <t>Concepto</t>
        </is>
      </c>
      <c r="C4" s="32" t="inlineStr">
        <is>
          <t>Monto anual</t>
        </is>
      </c>
      <c r="D4" s="32" t="inlineStr">
        <is>
          <t>Mensual</t>
        </is>
      </c>
    </row>
    <row r="5">
      <c r="B5" s="8" t="inlineStr">
        <is>
          <t>Póliza de seguro</t>
        </is>
      </c>
      <c r="C5" s="9" t="n"/>
      <c r="D5" s="33">
        <f>C5/12</f>
        <v/>
      </c>
    </row>
    <row r="6">
      <c r="B6" s="8" t="inlineStr">
        <is>
          <t>Inscripción / matrícula</t>
        </is>
      </c>
      <c r="C6" s="9" t="n"/>
      <c r="D6" s="33">
        <f>C6/12</f>
        <v/>
      </c>
    </row>
    <row r="7">
      <c r="B7" s="8" t="inlineStr">
        <is>
          <t>Impuestos / trámites</t>
        </is>
      </c>
      <c r="C7" s="9" t="n"/>
      <c r="D7" s="33">
        <f>C7/12</f>
        <v/>
      </c>
    </row>
    <row r="8">
      <c r="B8" s="8" t="inlineStr">
        <is>
          <t>Mantenimiento del vehículo</t>
        </is>
      </c>
      <c r="C8" s="9" t="n"/>
      <c r="D8" s="33">
        <f>C8/12</f>
        <v/>
      </c>
    </row>
    <row r="9">
      <c r="B9" s="8" t="inlineStr">
        <is>
          <t>Regalos y fechas especiales</t>
        </is>
      </c>
      <c r="C9" s="9" t="n"/>
      <c r="D9" s="33">
        <f>C9/12</f>
        <v/>
      </c>
    </row>
    <row r="10">
      <c r="B10" s="8" t="inlineStr"/>
      <c r="C10" s="9" t="n"/>
      <c r="D10" s="33">
        <f>C10/12</f>
        <v/>
      </c>
    </row>
    <row r="11">
      <c r="B11" s="8" t="inlineStr"/>
      <c r="C11" s="9" t="n"/>
      <c r="D11" s="33">
        <f>C11/12</f>
        <v/>
      </c>
    </row>
    <row r="12">
      <c r="B12" s="8" t="inlineStr"/>
      <c r="C12" s="9" t="n"/>
      <c r="D12" s="33">
        <f>C12/12</f>
        <v/>
      </c>
    </row>
    <row r="14">
      <c r="B14" s="3" t="inlineStr">
        <is>
          <t>Total mensual a presupuestar</t>
        </is>
      </c>
      <c r="D14" s="11">
        <f>SUM(D5:D12)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34" t="inlineStr">
        <is>
          <t>Cómo usar tu plantilla 50/30/20</t>
        </is>
      </c>
    </row>
    <row r="3">
      <c r="B3" t="inlineStr"/>
    </row>
    <row r="4">
      <c r="B4" s="35" t="inlineStr">
        <is>
          <t>Paso 1 · Identifica ingresos y egresos: anota todo lo que entra y todo lo que sale en el mes.</t>
        </is>
      </c>
    </row>
    <row r="5">
      <c r="B5" s="35" t="inlineStr">
        <is>
          <t>Paso 2 · Asigna valores reales: usa recibos y estados de cuenta. Gastos anuales → hoja 'Gastos anuales'.</t>
        </is>
      </c>
    </row>
    <row r="6">
      <c r="B6" s="35" t="inlineStr">
        <is>
          <t>Paso 3 · Regla 50/30/20: elige la categoría de cada gasto (Necesidades, Gustos o Ahorro).</t>
        </is>
      </c>
    </row>
    <row r="7">
      <c r="B7" s="36" t="inlineStr">
        <is>
          <t xml:space="preserve">          Los % se calculan con TODOS los gastos y SOLO los ingresos fijos.</t>
        </is>
      </c>
    </row>
    <row r="8">
      <c r="B8" s="35" t="inlineStr">
        <is>
          <t>Paso 4 · Ajusta y rebalancea: si un % sale en rojo, revisa y recorta gastos que no aportan valor.</t>
        </is>
      </c>
    </row>
    <row r="9">
      <c r="B9" t="inlineStr"/>
    </row>
    <row r="10">
      <c r="B10" s="37" t="inlineStr">
        <is>
          <t>💡 Págate primero: apenas cobres, transfiere tu 20% al ahorro.</t>
        </is>
      </c>
    </row>
    <row r="11">
      <c r="B11" s="37" t="inlineStr">
        <is>
          <t>💡 Tus ingresos variables (bonos, extras) son un plus: ¡ahórralos!</t>
        </is>
      </c>
    </row>
    <row r="12">
      <c r="B12" t="inlineStr"/>
    </row>
    <row r="13">
      <c r="B13" s="38" t="inlineStr">
        <is>
          <t>¿Dudas o quieres proteger lo que construyes? Escríbenos: WhatsApp +58 414 311 4736 · rosedasesores.com</t>
        </is>
      </c>
    </row>
    <row r="14">
      <c r="B14" s="5" t="inlineStr">
        <is>
          <t>Contenido educativo; no constituye asesoría de inversión.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2026-10-09T12:53:07Z</dcterms:created>
  <dcterms:modified xmlns:dcterms="http://purl.org/dc/terms/" xmlns:xsi="http://www.w3.org/2001/XMLSchema-instance" xsi:type="dcterms:W3CDTF">2026-10-09T12:53:07Z</dcterms:modified>
</cp:coreProperties>
</file>