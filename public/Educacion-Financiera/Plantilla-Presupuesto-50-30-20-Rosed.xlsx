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osed\Educacion_Financiera\dist\"/>
    </mc:Choice>
  </mc:AlternateContent>
  <bookViews>
    <workbookView xWindow="0" yWindow="0" windowWidth="7470" windowHeight="4230"/>
  </bookViews>
  <sheets>
    <sheet name="Ejemplo 50-30-20" sheetId="1" r:id="rId1"/>
    <sheet name="Mi Presupuesto" sheetId="2" r:id="rId2"/>
    <sheet name="Gastos Anuales" sheetId="3" r:id="rId3"/>
    <sheet name="Guía y Consejos Rosed" sheetId="4" r:id="rId4"/>
  </sheets>
  <definedNames>
    <definedName name="_xlnm.Print_Area" localSheetId="0">'Ejemplo 50-30-20'!$B$1:$L$36</definedName>
    <definedName name="_xlnm.Print_Area" localSheetId="1">'Mi Presupuesto'!$B$1:$L$36</definedName>
  </definedNames>
  <calcPr calcId="162913"/>
</workbook>
</file>

<file path=xl/calcChain.xml><?xml version="1.0" encoding="utf-8"?>
<calcChain xmlns="http://schemas.openxmlformats.org/spreadsheetml/2006/main">
  <c r="C15" i="3" l="1"/>
  <c r="D14" i="3"/>
  <c r="D13" i="3"/>
  <c r="D12" i="3"/>
  <c r="D11" i="3"/>
  <c r="D10" i="3"/>
  <c r="D9" i="3"/>
  <c r="D8" i="3"/>
  <c r="D7" i="3"/>
  <c r="D6" i="3"/>
  <c r="D15" i="3" s="1"/>
  <c r="C43" i="2"/>
  <c r="C19" i="2"/>
  <c r="J14" i="2"/>
  <c r="K13" i="2"/>
  <c r="I13" i="2"/>
  <c r="Q13" i="2" s="1"/>
  <c r="H13" i="2"/>
  <c r="H12" i="2"/>
  <c r="C12" i="2"/>
  <c r="L12" i="2" s="1"/>
  <c r="I11" i="2"/>
  <c r="H11" i="2"/>
  <c r="K16" i="2" s="1"/>
  <c r="J8" i="2"/>
  <c r="C43" i="1"/>
  <c r="C19" i="1"/>
  <c r="J14" i="1"/>
  <c r="K13" i="1"/>
  <c r="H13" i="1"/>
  <c r="K12" i="1"/>
  <c r="H12" i="1"/>
  <c r="I12" i="1" s="1"/>
  <c r="Q12" i="1" s="1"/>
  <c r="C12" i="1"/>
  <c r="L12" i="1" s="1"/>
  <c r="K11" i="1"/>
  <c r="K14" i="1" s="1"/>
  <c r="H11" i="1"/>
  <c r="K16" i="1" s="1"/>
  <c r="J8" i="1"/>
  <c r="I13" i="1" l="1"/>
  <c r="I11" i="1"/>
  <c r="H14" i="1"/>
  <c r="K11" i="2"/>
  <c r="L13" i="2"/>
  <c r="L11" i="2"/>
  <c r="Q11" i="2"/>
  <c r="H14" i="2"/>
  <c r="H8" i="1"/>
  <c r="L8" i="1" s="1"/>
  <c r="I12" i="2"/>
  <c r="Q12" i="2" s="1"/>
  <c r="K12" i="2"/>
  <c r="H8" i="2"/>
  <c r="L8" i="2" s="1"/>
  <c r="Q13" i="1" l="1"/>
  <c r="L13" i="1"/>
  <c r="K14" i="2"/>
  <c r="I14" i="1"/>
  <c r="L11" i="1"/>
  <c r="Q11" i="1"/>
  <c r="I14" i="2"/>
</calcChain>
</file>

<file path=xl/sharedStrings.xml><?xml version="1.0" encoding="utf-8"?>
<sst xmlns="http://schemas.openxmlformats.org/spreadsheetml/2006/main" count="244" uniqueCount="109">
  <si>
    <t>PRESUPUESTO INTELIGENTE 50/30/20</t>
  </si>
  <si>
    <t>Educación Financiera • Rosed Asesores de Seguros</t>
  </si>
  <si>
    <t>Periodo / Mes:</t>
  </si>
  <si>
    <t>Octubre 2026</t>
  </si>
  <si>
    <t>Moneda: USD ($)</t>
  </si>
  <si>
    <t>✏️ Llena las celdas grises</t>
  </si>
  <si>
    <t>1 · INGRESOS FIJOS (Base de la Regla 50/30/20)</t>
  </si>
  <si>
    <t>📊 RESUMEN EJECUTIVO 50/30/20</t>
  </si>
  <si>
    <t>Concepto</t>
  </si>
  <si>
    <t>Monto mensual</t>
  </si>
  <si>
    <t>Notas</t>
  </si>
  <si>
    <t>Ingresos Totales:</t>
  </si>
  <si>
    <t>Total Gastos:</t>
  </si>
  <si>
    <t>Balance Libre:</t>
  </si>
  <si>
    <t>Sueldo / Salario mensual</t>
  </si>
  <si>
    <t>Ingreso fijo principal</t>
  </si>
  <si>
    <t>Ingreso fijo secundario</t>
  </si>
  <si>
    <t>Trabajo o renta fija</t>
  </si>
  <si>
    <t>Categoría</t>
  </si>
  <si>
    <t>Gasto Real</t>
  </si>
  <si>
    <t>% Real</t>
  </si>
  <si>
    <t>Meta %</t>
  </si>
  <si>
    <t>Meta $</t>
  </si>
  <si>
    <t>Estatus</t>
  </si>
  <si>
    <t>Meta 50/30/20</t>
  </si>
  <si>
    <t>Tu % Real</t>
  </si>
  <si>
    <t>Otro ingreso fijo</t>
  </si>
  <si>
    <t>Necesidades</t>
  </si>
  <si>
    <t>TOTAL INGRESOS FIJOS</t>
  </si>
  <si>
    <t>Gustos</t>
  </si>
  <si>
    <t>Ahorro</t>
  </si>
  <si>
    <t>2 · INGRESOS VARIABLES (¡Destínalos al Ahorro!)</t>
  </si>
  <si>
    <t>TOTAL</t>
  </si>
  <si>
    <t>Freelance / Trabajos extra</t>
  </si>
  <si>
    <t>No cuentan para el 50/30/20</t>
  </si>
  <si>
    <t>🛡️ Tu ahorro anual cubriría de gastos básicos:</t>
  </si>
  <si>
    <t>Bonos / Comisiones</t>
  </si>
  <si>
    <t>Ingreso no garantizado</t>
  </si>
  <si>
    <t>Ventas u otros</t>
  </si>
  <si>
    <t>TOTAL INGRESOS VARIABLES</t>
  </si>
  <si>
    <t>3 · EGRESOS MENSUALES (Todos tus gastos)</t>
  </si>
  <si>
    <t>Notas / Tips</t>
  </si>
  <si>
    <t>Alquiler / Habitación / Vivienda</t>
  </si>
  <si>
    <t>Básico indispensable</t>
  </si>
  <si>
    <t>Mercado y alimentación básica</t>
  </si>
  <si>
    <t>Comida en casa</t>
  </si>
  <si>
    <t>Transporte / Gasolina / Metro</t>
  </si>
  <si>
    <t>Movilidad diaria</t>
  </si>
  <si>
    <t>Servicios (Electricidad, Agua, Gas)</t>
  </si>
  <si>
    <t>Servicios del hogar</t>
  </si>
  <si>
    <t>Internet y Plan Celular</t>
  </si>
  <si>
    <t>Conectividad básica</t>
  </si>
  <si>
    <t>Seguro de Salud / Póliza</t>
  </si>
  <si>
    <t>Protección de patrimonio</t>
  </si>
  <si>
    <t>Cursos / Formación profesional</t>
  </si>
  <si>
    <t>Inversión en ti mismo</t>
  </si>
  <si>
    <t>Salidas, Bares y Restaurantes</t>
  </si>
  <si>
    <t>Vida social con intención</t>
  </si>
  <si>
    <t>Delivery y Comida fuera</t>
  </si>
  <si>
    <t>Vigilar gastos hormiga</t>
  </si>
  <si>
    <t>Streaming (Netflix, Spotify, etc.)</t>
  </si>
  <si>
    <t>Auditar suscripciones</t>
  </si>
  <si>
    <t>Ropa y Compras personales</t>
  </si>
  <si>
    <t>Regla de las 48 horas</t>
  </si>
  <si>
    <t>Hobbies y Entretenimiento</t>
  </si>
  <si>
    <t>Ocio consciente</t>
  </si>
  <si>
    <t>Gimnasio / Deporte</t>
  </si>
  <si>
    <t>Bienestar personal</t>
  </si>
  <si>
    <t>Fondo de Emergencia (Colchón)</t>
  </si>
  <si>
    <t>Corto plazo (3-6 meses)</t>
  </si>
  <si>
    <t>Fondo de Retiro / Inversión largo plazo</t>
  </si>
  <si>
    <t>El poder del tiempo</t>
  </si>
  <si>
    <t>Otros gastos</t>
  </si>
  <si>
    <t>Otros imprevistos</t>
  </si>
  <si>
    <t>TOTAL EGRESOS</t>
  </si>
  <si>
    <t>CONVERTIDOR DE GASTOS ANUALES A MENSUALES</t>
  </si>
  <si>
    <t>Divide entre 12 los pagos anuales para no sufrir cuando toque pagarlos</t>
  </si>
  <si>
    <t>Concepto del gasto anual</t>
  </si>
  <si>
    <t>Monto anual ($)</t>
  </si>
  <si>
    <t>Reserva mensual ($)</t>
  </si>
  <si>
    <t>Categoría sugerida</t>
  </si>
  <si>
    <t>Póliza de Seguro de Salud / Hospitalización</t>
  </si>
  <si>
    <t>Seguro de Automóvil / Moto</t>
  </si>
  <si>
    <t>Mantenimiento mayor del vehículo</t>
  </si>
  <si>
    <t>Matrícula universitaria / Certificaciones</t>
  </si>
  <si>
    <t>Impuestos / Tasas anuales</t>
  </si>
  <si>
    <t>Regalos de Navidad / Cumpleaños</t>
  </si>
  <si>
    <t>Viaje / Vacaciones anuales</t>
  </si>
  <si>
    <t>TOTAL MENSUAL A PRESUPUESTAR</t>
  </si>
  <si>
    <t>GUÍA RÁPIDA DE EDUCACIÓN FINANCIERA • ROSED ASESORES</t>
  </si>
  <si>
    <t>Aprende a dominar tu dinero antes de que el dinero te domine a ti</t>
  </si>
  <si>
    <t>1. CÓMO USAR ESTA PLANTILLA:</t>
  </si>
  <si>
    <t>• Hoja 'Ejemplo 50-30-20': Revisa un caso real de $1.000 para entender la dinámica.</t>
  </si>
  <si>
    <t>• Hoja 'Mi Presupuesto': Ingresa tus propios números en las celdas grises.</t>
  </si>
  <si>
    <t>• Hoja 'Gastos Anuales': Convierte pagos anuales en cuotas mensuales para que no te tomen por sorpresa.</t>
  </si>
  <si>
    <t>2. REGLA DE ORO 50/30/20:</t>
  </si>
  <si>
    <t>• 50% NECESIDADES: Lo indispensable para vivir (techo, comida básica, servicios, salud).</t>
  </si>
  <si>
    <t>• 30% GUSTOS: Lo que disfrutas pero no necesitas para sobrevivir (salidas, delivery, suscripciones).</t>
  </si>
  <si>
    <t>• 20% AHORRO: Tu yo del futuro (fondo de emergencia y fondo de retiro/largo plazo).</t>
  </si>
  <si>
    <t>3. CLAVES Y HÁBITOS QUE SUMAN:</t>
  </si>
  <si>
    <t>• Págate primero: Apenas cobres, transfiere tu 20% al ahorro antes de gastar.</t>
  </si>
  <si>
    <t>• Ingresos variables: Si haces un freelance o recibes un bono, ¡ahórralo al 100%!</t>
  </si>
  <si>
    <t>• El tiempo es tu mayor activo: Empezar a los 20 vs a los 30 multiplica tus resultados exponencialmente.</t>
  </si>
  <si>
    <t>• Protege lo que construyes: Un accidente o enfermedad imprevista puede borrar años de ahorro en un día.</t>
  </si>
  <si>
    <t xml:space="preserve">  Una póliza de salud joven es accesible y blinda tu patrimonio.</t>
  </si>
  <si>
    <t>¿NECESITAS ASESORÍA PERSONALIZADA?</t>
  </si>
  <si>
    <t>En Rosed Asesores de Seguros te ayudamos a proteger tu salud y patrimonio.</t>
  </si>
  <si>
    <t>WhatsApp: +58 414 311 4736  •  Sitio Web: www.rosedasesores.com</t>
  </si>
  <si>
    <t>Caracas, Venezuela  •  Atención directa y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</si>
</sst>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25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64748B"/>
      <name val="Calibri"/>
    </font>
    <font>
      <b/>
      <sz val="10"/>
      <color rgb="FF1B365D"/>
      <name val="Calibri"/>
    </font>
    <font>
      <b/>
      <sz val="11"/>
      <name val="Calibri"/>
    </font>
    <font>
      <b/>
      <sz val="10"/>
      <color rgb="FF64748B"/>
      <name val="Calibri"/>
    </font>
    <font>
      <i/>
      <sz val="9"/>
      <color rgb="FF2E8FA8"/>
      <name val="Calibri"/>
    </font>
    <font>
      <b/>
      <sz val="11"/>
      <color rgb="FFFFFFFF"/>
      <name val="Calibri"/>
    </font>
    <font>
      <b/>
      <sz val="9"/>
      <color rgb="FF1B365D"/>
      <name val="Calibri"/>
    </font>
    <font>
      <sz val="9"/>
      <color rgb="FF64748B"/>
      <name val="Calibri"/>
    </font>
    <font>
      <b/>
      <sz val="11"/>
      <color rgb="FF1B365D"/>
      <name val="Calibri"/>
    </font>
    <font>
      <b/>
      <sz val="10"/>
      <color rgb="FF334155"/>
      <name val="Calibri"/>
    </font>
    <font>
      <b/>
      <sz val="11"/>
      <color rgb="FF047857"/>
      <name val="Calibri"/>
    </font>
    <font>
      <b/>
      <sz val="10"/>
      <name val="Calibri"/>
    </font>
    <font>
      <sz val="9"/>
      <color rgb="FF334155"/>
      <name val="Calibri"/>
    </font>
    <font>
      <b/>
      <sz val="9"/>
      <name val="Calibri"/>
    </font>
    <font>
      <b/>
      <sz val="9"/>
      <color rgb="FF334155"/>
      <name val="Calibri"/>
    </font>
    <font>
      <b/>
      <sz val="9"/>
      <color rgb="FF047857"/>
      <name val="Calibri"/>
    </font>
    <font>
      <b/>
      <sz val="14"/>
      <color rgb="FF1B365D"/>
      <name val="Calibri"/>
    </font>
    <font>
      <b/>
      <sz val="10"/>
      <color rgb="FFFFFFFF"/>
      <name val="Calibri"/>
    </font>
    <font>
      <b/>
      <sz val="11"/>
      <color rgb="FF1B365D"/>
      <name val="Calibri"/>
    </font>
    <font>
      <b/>
      <sz val="15"/>
      <color rgb="FF1B365D"/>
      <name val="Calibri"/>
    </font>
    <font>
      <sz val="10"/>
      <name val="Calibri"/>
    </font>
    <font>
      <sz val="10"/>
      <color rgb="FF2E8FA8"/>
      <name val="Calibri"/>
    </font>
    <font>
      <b/>
      <sz val="10"/>
      <color rgb="FF04785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B365D"/>
      </patternFill>
    </fill>
    <fill>
      <patternFill patternType="solid">
        <fgColor rgb="FFE8F6FA"/>
      </patternFill>
    </fill>
    <fill>
      <patternFill patternType="solid">
        <fgColor rgb="FF2E8FA8"/>
      </patternFill>
    </fill>
    <fill>
      <patternFill patternType="solid">
        <fgColor rgb="FF334155"/>
      </patternFill>
    </fill>
    <fill>
      <patternFill patternType="solid">
        <fgColor rgb="FFECFDF5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/>
    <xf numFmtId="164" fontId="3" fillId="0" borderId="0" xfId="0" applyNumberFormat="1" applyFont="1"/>
    <xf numFmtId="164" fontId="11" fillId="0" borderId="0" xfId="0" applyNumberFormat="1" applyFont="1"/>
    <xf numFmtId="164" fontId="12" fillId="7" borderId="0" xfId="0" applyNumberFormat="1" applyFont="1" applyFill="1"/>
    <xf numFmtId="0" fontId="0" fillId="0" borderId="1" xfId="0" applyBorder="1"/>
    <xf numFmtId="164" fontId="0" fillId="2" borderId="1" xfId="0" applyNumberFormat="1" applyFill="1" applyBorder="1"/>
    <xf numFmtId="0" fontId="9" fillId="0" borderId="1" xfId="0" applyFont="1" applyBorder="1"/>
    <xf numFmtId="0" fontId="3" fillId="4" borderId="1" xfId="0" applyFont="1" applyFill="1" applyBorder="1"/>
    <xf numFmtId="164" fontId="13" fillId="4" borderId="1" xfId="0" applyNumberFormat="1" applyFont="1" applyFill="1" applyBorder="1"/>
    <xf numFmtId="165" fontId="13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4" fontId="14" fillId="4" borderId="1" xfId="0" applyNumberFormat="1" applyFont="1" applyFill="1" applyBorder="1"/>
    <xf numFmtId="0" fontId="15" fillId="4" borderId="1" xfId="0" applyFont="1" applyFill="1" applyBorder="1" applyAlignment="1">
      <alignment horizontal="center"/>
    </xf>
    <xf numFmtId="164" fontId="10" fillId="0" borderId="1" xfId="0" applyNumberFormat="1" applyFont="1" applyBorder="1"/>
    <xf numFmtId="0" fontId="3" fillId="8" borderId="1" xfId="0" applyFont="1" applyFill="1" applyBorder="1"/>
    <xf numFmtId="164" fontId="13" fillId="8" borderId="1" xfId="0" applyNumberFormat="1" applyFont="1" applyFill="1" applyBorder="1"/>
    <xf numFmtId="165" fontId="13" fillId="8" borderId="1" xfId="0" applyNumberFormat="1" applyFont="1" applyFill="1" applyBorder="1" applyAlignment="1">
      <alignment horizontal="center"/>
    </xf>
    <xf numFmtId="165" fontId="5" fillId="8" borderId="1" xfId="0" applyNumberFormat="1" applyFont="1" applyFill="1" applyBorder="1" applyAlignment="1">
      <alignment horizontal="center"/>
    </xf>
    <xf numFmtId="164" fontId="14" fillId="8" borderId="1" xfId="0" applyNumberFormat="1" applyFont="1" applyFill="1" applyBorder="1"/>
    <xf numFmtId="0" fontId="15" fillId="8" borderId="1" xfId="0" applyFont="1" applyFill="1" applyBorder="1" applyAlignment="1">
      <alignment horizontal="center"/>
    </xf>
    <xf numFmtId="0" fontId="3" fillId="7" borderId="1" xfId="0" applyFont="1" applyFill="1" applyBorder="1"/>
    <xf numFmtId="164" fontId="13" fillId="7" borderId="1" xfId="0" applyNumberFormat="1" applyFont="1" applyFill="1" applyBorder="1"/>
    <xf numFmtId="165" fontId="13" fillId="7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4" fontId="14" fillId="7" borderId="1" xfId="0" applyNumberFormat="1" applyFont="1" applyFill="1" applyBorder="1"/>
    <xf numFmtId="0" fontId="15" fillId="7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4" fontId="16" fillId="0" borderId="1" xfId="0" applyNumberFormat="1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8" fillId="0" borderId="0" xfId="0" applyFont="1"/>
    <xf numFmtId="0" fontId="19" fillId="3" borderId="1" xfId="0" applyFont="1" applyFill="1" applyBorder="1" applyAlignment="1">
      <alignment horizontal="left"/>
    </xf>
    <xf numFmtId="0" fontId="19" fillId="3" borderId="1" xfId="0" applyFont="1" applyFill="1" applyBorder="1" applyAlignment="1">
      <alignment horizontal="center"/>
    </xf>
    <xf numFmtId="164" fontId="20" fillId="0" borderId="1" xfId="0" applyNumberFormat="1" applyFont="1" applyBorder="1"/>
    <xf numFmtId="0" fontId="20" fillId="0" borderId="0" xfId="0" applyFont="1"/>
    <xf numFmtId="164" fontId="0" fillId="0" borderId="0" xfId="0" applyNumberFormat="1"/>
    <xf numFmtId="0" fontId="21" fillId="0" borderId="0" xfId="0" applyFont="1"/>
    <xf numFmtId="0" fontId="1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7" fillId="7" borderId="0" xfId="0" applyFont="1" applyFill="1" applyAlignment="1">
      <alignment horizontal="center"/>
    </xf>
    <xf numFmtId="0" fontId="0" fillId="0" borderId="0" xfId="0"/>
    <xf numFmtId="0" fontId="7" fillId="6" borderId="0" xfId="0" applyFont="1" applyFill="1" applyAlignment="1">
      <alignment vertical="center" indent="1"/>
    </xf>
    <xf numFmtId="0" fontId="7" fillId="3" borderId="0" xfId="0" applyFont="1" applyFill="1" applyAlignment="1">
      <alignment vertical="center" indent="1"/>
    </xf>
    <xf numFmtId="0" fontId="8" fillId="0" borderId="0" xfId="0" applyFont="1"/>
    <xf numFmtId="0" fontId="7" fillId="5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rgbClr val="1B365D"/>
                </a:solidFill>
              </a:defRPr>
            </a:pPr>
            <a:r>
              <a:rPr lang="es-ES"/>
              <a:t>Comparativo: Meta 50/30/20 vs Tu Realidad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 50/30/20</c:v>
          </c:tx>
          <c:spPr>
            <a:solidFill>
              <a:srgbClr val="1B365D"/>
            </a:solidFill>
          </c:spPr>
          <c:invertIfNegative val="0"/>
          <c:cat>
            <c:strRef>
              <c:f>'Ejemplo 50-30-20'!$O$11:$O$13</c:f>
              <c:strCache>
                <c:ptCount val="3"/>
                <c:pt idx="0">
                  <c:v>Necesidades</c:v>
                </c:pt>
                <c:pt idx="1">
                  <c:v>Gustos</c:v>
                </c:pt>
                <c:pt idx="2">
                  <c:v>Ahorro</c:v>
                </c:pt>
              </c:strCache>
            </c:strRef>
          </c:cat>
          <c:val>
            <c:numRef>
              <c:f>'Ejemplo 50-30-20'!$P$11:$P$13</c:f>
              <c:numCache>
                <c:formatCode>General</c:formatCode>
                <c:ptCount val="3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6-4F43-8193-294182750922}"/>
            </c:ext>
          </c:extLst>
        </c:ser>
        <c:ser>
          <c:idx val="1"/>
          <c:order val="1"/>
          <c:tx>
            <c:v>Tu % Real</c:v>
          </c:tx>
          <c:spPr>
            <a:solidFill>
              <a:srgbClr val="10B981"/>
            </a:solidFill>
          </c:spPr>
          <c:invertIfNegative val="0"/>
          <c:cat>
            <c:strRef>
              <c:f>'Ejemplo 50-30-20'!$O$11:$O$13</c:f>
              <c:strCache>
                <c:ptCount val="3"/>
                <c:pt idx="0">
                  <c:v>Necesidades</c:v>
                </c:pt>
                <c:pt idx="1">
                  <c:v>Gustos</c:v>
                </c:pt>
                <c:pt idx="2">
                  <c:v>Ahorro</c:v>
                </c:pt>
              </c:strCache>
            </c:strRef>
          </c:cat>
          <c:val>
            <c:numRef>
              <c:f>'Ejemplo 50-30-20'!$Q$11:$Q$13</c:f>
              <c:numCache>
                <c:formatCode>General</c:formatCode>
                <c:ptCount val="3"/>
                <c:pt idx="0">
                  <c:v>0.52500000000000002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6-4F43-8193-29418275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9889168"/>
        <c:axId val="1609889584"/>
      </c:barChart>
      <c:catAx>
        <c:axId val="160988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9889584"/>
        <c:crosses val="autoZero"/>
        <c:auto val="1"/>
        <c:lblAlgn val="ctr"/>
        <c:lblOffset val="100"/>
        <c:noMultiLvlLbl val="0"/>
      </c:catAx>
      <c:valAx>
        <c:axId val="1609889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9889168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rgbClr val="1B365D"/>
                </a:solidFill>
              </a:defRPr>
            </a:pPr>
            <a:r>
              <a:rPr lang="es-ES"/>
              <a:t>Comparativo: Meta 50/30/20 vs Tu Realidad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 50/30/20</c:v>
          </c:tx>
          <c:spPr>
            <a:solidFill>
              <a:srgbClr val="1B365D"/>
            </a:solidFill>
          </c:spPr>
          <c:invertIfNegative val="0"/>
          <c:cat>
            <c:strRef>
              <c:f>'Mi Presupuesto'!$O$11:$O$13</c:f>
              <c:strCache>
                <c:ptCount val="3"/>
                <c:pt idx="0">
                  <c:v>Necesidades</c:v>
                </c:pt>
                <c:pt idx="1">
                  <c:v>Gustos</c:v>
                </c:pt>
                <c:pt idx="2">
                  <c:v>Ahorro</c:v>
                </c:pt>
              </c:strCache>
            </c:strRef>
          </c:cat>
          <c:val>
            <c:numRef>
              <c:f>'Mi Presupuesto'!$P$11:$P$13</c:f>
              <c:numCache>
                <c:formatCode>General</c:formatCode>
                <c:ptCount val="3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7-4E85-A6DC-B938B76317AB}"/>
            </c:ext>
          </c:extLst>
        </c:ser>
        <c:ser>
          <c:idx val="1"/>
          <c:order val="1"/>
          <c:tx>
            <c:v>Tu % Real</c:v>
          </c:tx>
          <c:spPr>
            <a:solidFill>
              <a:srgbClr val="10B981"/>
            </a:solidFill>
          </c:spPr>
          <c:invertIfNegative val="0"/>
          <c:cat>
            <c:strRef>
              <c:f>'Mi Presupuesto'!$O$11:$O$13</c:f>
              <c:strCache>
                <c:ptCount val="3"/>
                <c:pt idx="0">
                  <c:v>Necesidades</c:v>
                </c:pt>
                <c:pt idx="1">
                  <c:v>Gustos</c:v>
                </c:pt>
                <c:pt idx="2">
                  <c:v>Ahorro</c:v>
                </c:pt>
              </c:strCache>
            </c:strRef>
          </c:cat>
          <c:val>
            <c:numRef>
              <c:f>'Mi Presupuesto'!$Q$11:$Q$13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7-4E85-A6DC-B938B763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786816"/>
        <c:axId val="1674788064"/>
      </c:barChart>
      <c:catAx>
        <c:axId val="167478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74788064"/>
        <c:crosses val="autoZero"/>
        <c:auto val="1"/>
        <c:lblAlgn val="ctr"/>
        <c:lblOffset val="100"/>
        <c:noMultiLvlLbl val="0"/>
      </c:catAx>
      <c:valAx>
        <c:axId val="167478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4786816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95400" cy="4953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4</xdr:col>
      <xdr:colOff>1260475</xdr:colOff>
      <xdr:row>15</xdr:row>
      <xdr:rowOff>92075</xdr:rowOff>
    </xdr:from>
    <xdr:to>
      <xdr:col>11</xdr:col>
      <xdr:colOff>593725</xdr:colOff>
      <xdr:row>30</xdr:row>
      <xdr:rowOff>111125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95400" cy="4953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4</xdr:col>
      <xdr:colOff>1260475</xdr:colOff>
      <xdr:row>15</xdr:row>
      <xdr:rowOff>92075</xdr:rowOff>
    </xdr:from>
    <xdr:to>
      <xdr:col>11</xdr:col>
      <xdr:colOff>593725</xdr:colOff>
      <xdr:row>30</xdr:row>
      <xdr:rowOff>111125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43"/>
  <sheetViews>
    <sheetView tabSelected="1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15" customWidth="1"/>
    <col min="4" max="4" width="16" customWidth="1"/>
    <col min="5" max="5" width="25" customWidth="1"/>
    <col min="6" max="6" width="3" customWidth="1"/>
    <col min="7" max="7" width="16" customWidth="1"/>
    <col min="8" max="8" width="13" customWidth="1"/>
    <col min="9" max="10" width="10" customWidth="1"/>
    <col min="11" max="11" width="13" customWidth="1"/>
    <col min="12" max="12" width="15" customWidth="1"/>
    <col min="13" max="13" width="2" customWidth="1"/>
    <col min="15" max="17" width="0" hidden="1" customWidth="1"/>
  </cols>
  <sheetData>
    <row r="2" spans="2:17" ht="21" x14ac:dyDescent="0.35">
      <c r="D2" s="1" t="s">
        <v>0</v>
      </c>
    </row>
    <row r="3" spans="2:17" x14ac:dyDescent="0.25">
      <c r="D3" s="2" t="s">
        <v>1</v>
      </c>
    </row>
    <row r="5" spans="2:17" x14ac:dyDescent="0.25">
      <c r="B5" s="3" t="s">
        <v>2</v>
      </c>
      <c r="C5" s="4" t="s">
        <v>3</v>
      </c>
      <c r="D5" s="5" t="s">
        <v>4</v>
      </c>
      <c r="E5" s="6" t="s">
        <v>5</v>
      </c>
    </row>
    <row r="7" spans="2:17" ht="24" customHeight="1" x14ac:dyDescent="0.25">
      <c r="B7" s="56" t="s">
        <v>6</v>
      </c>
      <c r="C7" s="54"/>
      <c r="D7" s="54"/>
      <c r="E7" s="54"/>
      <c r="G7" s="56" t="s">
        <v>7</v>
      </c>
      <c r="H7" s="54"/>
      <c r="I7" s="54"/>
      <c r="J7" s="54"/>
      <c r="K7" s="54"/>
      <c r="L7" s="54"/>
    </row>
    <row r="8" spans="2:17" ht="20.100000000000001" customHeight="1" x14ac:dyDescent="0.25">
      <c r="B8" s="7" t="s">
        <v>8</v>
      </c>
      <c r="C8" s="8" t="s">
        <v>9</v>
      </c>
      <c r="D8" s="8"/>
      <c r="E8" s="8" t="s">
        <v>10</v>
      </c>
      <c r="G8" s="9" t="s">
        <v>11</v>
      </c>
      <c r="H8" s="10">
        <f>C12+C19</f>
        <v>1100</v>
      </c>
      <c r="I8" s="9" t="s">
        <v>12</v>
      </c>
      <c r="J8" s="11">
        <f>C43</f>
        <v>1025</v>
      </c>
      <c r="K8" s="9" t="s">
        <v>13</v>
      </c>
      <c r="L8" s="12">
        <f>H8-J8</f>
        <v>75</v>
      </c>
    </row>
    <row r="9" spans="2:17" x14ac:dyDescent="0.25">
      <c r="B9" s="13" t="s">
        <v>14</v>
      </c>
      <c r="C9" s="14">
        <v>850</v>
      </c>
      <c r="D9" s="13"/>
      <c r="E9" s="15" t="s">
        <v>15</v>
      </c>
    </row>
    <row r="10" spans="2:17" ht="20.100000000000001" customHeight="1" x14ac:dyDescent="0.25">
      <c r="B10" s="13" t="s">
        <v>16</v>
      </c>
      <c r="C10" s="14">
        <v>150</v>
      </c>
      <c r="D10" s="13"/>
      <c r="E10" s="15" t="s">
        <v>17</v>
      </c>
      <c r="G10" s="8" t="s">
        <v>18</v>
      </c>
      <c r="H10" s="8" t="s">
        <v>19</v>
      </c>
      <c r="I10" s="8" t="s">
        <v>20</v>
      </c>
      <c r="J10" s="8" t="s">
        <v>21</v>
      </c>
      <c r="K10" s="8" t="s">
        <v>22</v>
      </c>
      <c r="L10" s="8" t="s">
        <v>23</v>
      </c>
      <c r="O10" t="s">
        <v>18</v>
      </c>
      <c r="P10" t="s">
        <v>24</v>
      </c>
      <c r="Q10" t="s">
        <v>25</v>
      </c>
    </row>
    <row r="11" spans="2:17" ht="21.95" customHeight="1" x14ac:dyDescent="0.25">
      <c r="B11" s="13" t="s">
        <v>26</v>
      </c>
      <c r="C11" s="14"/>
      <c r="D11" s="13"/>
      <c r="E11" s="15"/>
      <c r="G11" s="16" t="s">
        <v>27</v>
      </c>
      <c r="H11" s="17">
        <f>SUMIF($D$23:$D$42, "Necesidades", $C$23:$C$42)</f>
        <v>525</v>
      </c>
      <c r="I11" s="18">
        <f>IF(C12=0, 0, H11/C12)</f>
        <v>0.52500000000000002</v>
      </c>
      <c r="J11" s="19">
        <v>0.5</v>
      </c>
      <c r="K11" s="20">
        <f>C12*J11</f>
        <v>500</v>
      </c>
      <c r="L11" s="21" t="str">
        <f>IF(C12=0, "-", IF(I11&lt;=J11, "✅ En el límite", "⚠️ Excedido"))</f>
        <v>⚠️ Excedido</v>
      </c>
      <c r="O11" t="s">
        <v>27</v>
      </c>
      <c r="P11">
        <v>0.5</v>
      </c>
      <c r="Q11">
        <f>I11</f>
        <v>0.52500000000000002</v>
      </c>
    </row>
    <row r="12" spans="2:17" ht="21.95" customHeight="1" x14ac:dyDescent="0.25">
      <c r="B12" s="3" t="s">
        <v>28</v>
      </c>
      <c r="C12" s="22">
        <f>SUM(C9:C11)</f>
        <v>1000</v>
      </c>
      <c r="D12" s="13"/>
      <c r="E12" s="13"/>
      <c r="G12" s="23" t="s">
        <v>29</v>
      </c>
      <c r="H12" s="24">
        <f>SUMIF($D$23:$D$42, "Gustos", $C$23:$C$42)</f>
        <v>300</v>
      </c>
      <c r="I12" s="25">
        <f>IF(C12=0, 0, H12/C12)</f>
        <v>0.3</v>
      </c>
      <c r="J12" s="26">
        <v>0.3</v>
      </c>
      <c r="K12" s="27">
        <f>C12*J12</f>
        <v>300</v>
      </c>
      <c r="L12" s="28" t="str">
        <f>IF(C12=0, "-", IF(I12&lt;=J12, "✅ En el límite", "⚠️ Excedido"))</f>
        <v>✅ En el límite</v>
      </c>
      <c r="O12" t="s">
        <v>29</v>
      </c>
      <c r="P12">
        <v>0.3</v>
      </c>
      <c r="Q12">
        <f>I12</f>
        <v>0.3</v>
      </c>
    </row>
    <row r="13" spans="2:17" ht="21.95" customHeight="1" x14ac:dyDescent="0.25">
      <c r="G13" s="29" t="s">
        <v>30</v>
      </c>
      <c r="H13" s="30">
        <f>SUMIF($D$23:$D$42, "Ahorro", $C$23:$C$42)</f>
        <v>200</v>
      </c>
      <c r="I13" s="31">
        <f>IF(C12=0, 0, H13/C12)</f>
        <v>0.2</v>
      </c>
      <c r="J13" s="32">
        <v>0.2</v>
      </c>
      <c r="K13" s="33">
        <f>C12*J13</f>
        <v>200</v>
      </c>
      <c r="L13" s="34" t="str">
        <f>IF(C12=0, "-", IF(I13&gt;=J13, "✅ ¡Meta superada!", "⚠️ Aumentar ahorro"))</f>
        <v>✅ ¡Meta superada!</v>
      </c>
      <c r="O13" t="s">
        <v>30</v>
      </c>
      <c r="P13">
        <v>0.2</v>
      </c>
      <c r="Q13">
        <f>I13</f>
        <v>0.2</v>
      </c>
    </row>
    <row r="14" spans="2:17" ht="24" customHeight="1" x14ac:dyDescent="0.25">
      <c r="B14" s="58" t="s">
        <v>31</v>
      </c>
      <c r="C14" s="54"/>
      <c r="D14" s="54"/>
      <c r="E14" s="54"/>
      <c r="G14" s="35" t="s">
        <v>32</v>
      </c>
      <c r="H14" s="36">
        <f>SUM(H11:H13)</f>
        <v>1025</v>
      </c>
      <c r="I14" s="37">
        <f>SUM(I11:I13)</f>
        <v>1.0249999999999999</v>
      </c>
      <c r="J14" s="38">
        <f>SUM(J11:J13)</f>
        <v>1</v>
      </c>
      <c r="K14" s="39">
        <f>SUM(K11:K13)</f>
        <v>1000</v>
      </c>
      <c r="L14" s="13"/>
    </row>
    <row r="15" spans="2:17" ht="20.100000000000001" customHeight="1" x14ac:dyDescent="0.25">
      <c r="B15" s="7" t="s">
        <v>8</v>
      </c>
      <c r="C15" s="8" t="s">
        <v>9</v>
      </c>
      <c r="D15" s="8"/>
      <c r="E15" s="8" t="s">
        <v>10</v>
      </c>
    </row>
    <row r="16" spans="2:17" x14ac:dyDescent="0.25">
      <c r="B16" s="13" t="s">
        <v>33</v>
      </c>
      <c r="C16" s="14">
        <v>100</v>
      </c>
      <c r="D16" s="13"/>
      <c r="E16" s="15" t="s">
        <v>34</v>
      </c>
      <c r="G16" s="57" t="s">
        <v>35</v>
      </c>
      <c r="H16" s="54"/>
      <c r="I16" s="54"/>
      <c r="J16" s="54"/>
      <c r="K16" s="53" t="str">
        <f>IF(H11=0, "0 meses", TEXT((H13*12)/H11, "0.0") &amp; " meses de tranquilidad")</f>
        <v>05 meses de tranquilidad</v>
      </c>
      <c r="L16" s="54"/>
    </row>
    <row r="17" spans="2:5" x14ac:dyDescent="0.25">
      <c r="B17" s="13" t="s">
        <v>36</v>
      </c>
      <c r="C17" s="14"/>
      <c r="D17" s="13"/>
      <c r="E17" s="15" t="s">
        <v>37</v>
      </c>
    </row>
    <row r="18" spans="2:5" x14ac:dyDescent="0.25">
      <c r="B18" s="13" t="s">
        <v>38</v>
      </c>
      <c r="C18" s="14"/>
      <c r="D18" s="13"/>
      <c r="E18" s="15"/>
    </row>
    <row r="19" spans="2:5" x14ac:dyDescent="0.25">
      <c r="B19" s="3" t="s">
        <v>39</v>
      </c>
      <c r="C19" s="22">
        <f>SUM(C16:C18)</f>
        <v>100</v>
      </c>
      <c r="D19" s="13"/>
      <c r="E19" s="13"/>
    </row>
    <row r="21" spans="2:5" ht="24" customHeight="1" x14ac:dyDescent="0.25">
      <c r="B21" s="55" t="s">
        <v>40</v>
      </c>
      <c r="C21" s="54"/>
      <c r="D21" s="54"/>
      <c r="E21" s="54"/>
    </row>
    <row r="22" spans="2:5" ht="20.100000000000001" customHeight="1" x14ac:dyDescent="0.25">
      <c r="B22" s="7" t="s">
        <v>8</v>
      </c>
      <c r="C22" s="8" t="s">
        <v>9</v>
      </c>
      <c r="D22" s="8" t="s">
        <v>18</v>
      </c>
      <c r="E22" s="8" t="s">
        <v>41</v>
      </c>
    </row>
    <row r="23" spans="2:5" x14ac:dyDescent="0.25">
      <c r="B23" s="13" t="s">
        <v>42</v>
      </c>
      <c r="C23" s="14">
        <v>250</v>
      </c>
      <c r="D23" s="40" t="s">
        <v>27</v>
      </c>
      <c r="E23" s="15" t="s">
        <v>43</v>
      </c>
    </row>
    <row r="24" spans="2:5" x14ac:dyDescent="0.25">
      <c r="B24" s="13" t="s">
        <v>44</v>
      </c>
      <c r="C24" s="14">
        <v>140</v>
      </c>
      <c r="D24" s="40" t="s">
        <v>27</v>
      </c>
      <c r="E24" s="15" t="s">
        <v>45</v>
      </c>
    </row>
    <row r="25" spans="2:5" x14ac:dyDescent="0.25">
      <c r="B25" s="13" t="s">
        <v>46</v>
      </c>
      <c r="C25" s="14">
        <v>40</v>
      </c>
      <c r="D25" s="40" t="s">
        <v>27</v>
      </c>
      <c r="E25" s="15" t="s">
        <v>47</v>
      </c>
    </row>
    <row r="26" spans="2:5" x14ac:dyDescent="0.25">
      <c r="B26" s="13" t="s">
        <v>48</v>
      </c>
      <c r="C26" s="14">
        <v>20</v>
      </c>
      <c r="D26" s="40" t="s">
        <v>27</v>
      </c>
      <c r="E26" s="15" t="s">
        <v>49</v>
      </c>
    </row>
    <row r="27" spans="2:5" x14ac:dyDescent="0.25">
      <c r="B27" s="13" t="s">
        <v>50</v>
      </c>
      <c r="C27" s="14">
        <v>25</v>
      </c>
      <c r="D27" s="40" t="s">
        <v>27</v>
      </c>
      <c r="E27" s="15" t="s">
        <v>51</v>
      </c>
    </row>
    <row r="28" spans="2:5" x14ac:dyDescent="0.25">
      <c r="B28" s="13" t="s">
        <v>52</v>
      </c>
      <c r="C28" s="14">
        <v>35</v>
      </c>
      <c r="D28" s="40" t="s">
        <v>27</v>
      </c>
      <c r="E28" s="15" t="s">
        <v>53</v>
      </c>
    </row>
    <row r="29" spans="2:5" x14ac:dyDescent="0.25">
      <c r="B29" s="13" t="s">
        <v>54</v>
      </c>
      <c r="C29" s="14">
        <v>15</v>
      </c>
      <c r="D29" s="40" t="s">
        <v>27</v>
      </c>
      <c r="E29" s="15" t="s">
        <v>55</v>
      </c>
    </row>
    <row r="30" spans="2:5" x14ac:dyDescent="0.25">
      <c r="B30" s="13" t="s">
        <v>56</v>
      </c>
      <c r="C30" s="14">
        <v>120</v>
      </c>
      <c r="D30" s="40" t="s">
        <v>29</v>
      </c>
      <c r="E30" s="15" t="s">
        <v>57</v>
      </c>
    </row>
    <row r="31" spans="2:5" x14ac:dyDescent="0.25">
      <c r="B31" s="13" t="s">
        <v>58</v>
      </c>
      <c r="C31" s="14">
        <v>45</v>
      </c>
      <c r="D31" s="40" t="s">
        <v>29</v>
      </c>
      <c r="E31" s="15" t="s">
        <v>59</v>
      </c>
    </row>
    <row r="32" spans="2:5" x14ac:dyDescent="0.25">
      <c r="B32" s="13" t="s">
        <v>60</v>
      </c>
      <c r="C32" s="14">
        <v>20</v>
      </c>
      <c r="D32" s="40" t="s">
        <v>29</v>
      </c>
      <c r="E32" s="15" t="s">
        <v>61</v>
      </c>
    </row>
    <row r="33" spans="2:5" x14ac:dyDescent="0.25">
      <c r="B33" s="13" t="s">
        <v>62</v>
      </c>
      <c r="C33" s="14">
        <v>50</v>
      </c>
      <c r="D33" s="40" t="s">
        <v>29</v>
      </c>
      <c r="E33" s="15" t="s">
        <v>63</v>
      </c>
    </row>
    <row r="34" spans="2:5" x14ac:dyDescent="0.25">
      <c r="B34" s="13" t="s">
        <v>64</v>
      </c>
      <c r="C34" s="14">
        <v>40</v>
      </c>
      <c r="D34" s="40" t="s">
        <v>29</v>
      </c>
      <c r="E34" s="15" t="s">
        <v>65</v>
      </c>
    </row>
    <row r="35" spans="2:5" x14ac:dyDescent="0.25">
      <c r="B35" s="13" t="s">
        <v>66</v>
      </c>
      <c r="C35" s="14">
        <v>25</v>
      </c>
      <c r="D35" s="40" t="s">
        <v>29</v>
      </c>
      <c r="E35" s="15" t="s">
        <v>67</v>
      </c>
    </row>
    <row r="36" spans="2:5" x14ac:dyDescent="0.25">
      <c r="B36" s="13" t="s">
        <v>68</v>
      </c>
      <c r="C36" s="14">
        <v>120</v>
      </c>
      <c r="D36" s="40" t="s">
        <v>30</v>
      </c>
      <c r="E36" s="15" t="s">
        <v>69</v>
      </c>
    </row>
    <row r="37" spans="2:5" x14ac:dyDescent="0.25">
      <c r="B37" s="13" t="s">
        <v>70</v>
      </c>
      <c r="C37" s="14">
        <v>80</v>
      </c>
      <c r="D37" s="40" t="s">
        <v>30</v>
      </c>
      <c r="E37" s="15" t="s">
        <v>71</v>
      </c>
    </row>
    <row r="38" spans="2:5" x14ac:dyDescent="0.25">
      <c r="B38" s="13" t="s">
        <v>72</v>
      </c>
      <c r="C38" s="14"/>
      <c r="D38" s="40" t="s">
        <v>29</v>
      </c>
      <c r="E38" s="15"/>
    </row>
    <row r="39" spans="2:5" x14ac:dyDescent="0.25">
      <c r="B39" s="13" t="s">
        <v>73</v>
      </c>
      <c r="C39" s="14"/>
      <c r="D39" s="40" t="s">
        <v>27</v>
      </c>
      <c r="E39" s="15"/>
    </row>
    <row r="40" spans="2:5" x14ac:dyDescent="0.25">
      <c r="B40" s="41"/>
      <c r="C40" s="14"/>
      <c r="D40" s="40"/>
      <c r="E40" s="15"/>
    </row>
    <row r="41" spans="2:5" x14ac:dyDescent="0.25">
      <c r="B41" s="41"/>
      <c r="C41" s="14"/>
      <c r="D41" s="40"/>
      <c r="E41" s="15"/>
    </row>
    <row r="42" spans="2:5" x14ac:dyDescent="0.25">
      <c r="B42" s="41"/>
      <c r="C42" s="14"/>
      <c r="D42" s="40"/>
      <c r="E42" s="15"/>
    </row>
    <row r="43" spans="2:5" x14ac:dyDescent="0.25">
      <c r="B43" s="3" t="s">
        <v>74</v>
      </c>
      <c r="C43" s="22">
        <f>SUM(C23:C42)</f>
        <v>1025</v>
      </c>
      <c r="D43" s="13"/>
      <c r="E43" s="13"/>
    </row>
  </sheetData>
  <mergeCells count="6">
    <mergeCell ref="K16:L16"/>
    <mergeCell ref="B21:E21"/>
    <mergeCell ref="B7:E7"/>
    <mergeCell ref="G16:J16"/>
    <mergeCell ref="B14:E14"/>
    <mergeCell ref="G7:L7"/>
  </mergeCells>
  <dataValidations count="1">
    <dataValidation type="list" allowBlank="1" error="Por favor selecciona: Necesidades, Gustos o Ahorro" sqref="D23 D24 D25 D26 D27 D28 D29 D30 D31 D32 D33 D34 D35 D36 D37 D38 D39 D40 D41 D42">
      <formula1>"Necesidades,Gustos,Ahorro"</formula1>
    </dataValidation>
  </dataValidations>
  <pageMargins left="0.75" right="0.75" top="1" bottom="1" header="0.5" footer="0.5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43"/>
  <sheetViews>
    <sheetView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15" customWidth="1"/>
    <col min="4" max="4" width="16" customWidth="1"/>
    <col min="5" max="5" width="25" customWidth="1"/>
    <col min="6" max="6" width="3" customWidth="1"/>
    <col min="7" max="7" width="16" customWidth="1"/>
    <col min="8" max="8" width="13" customWidth="1"/>
    <col min="9" max="10" width="10" customWidth="1"/>
    <col min="11" max="11" width="13" customWidth="1"/>
    <col min="12" max="12" width="15" customWidth="1"/>
    <col min="13" max="13" width="2" customWidth="1"/>
    <col min="15" max="17" width="0" hidden="1" customWidth="1"/>
  </cols>
  <sheetData>
    <row r="2" spans="2:17" ht="21" x14ac:dyDescent="0.35">
      <c r="D2" s="1" t="s">
        <v>0</v>
      </c>
    </row>
    <row r="3" spans="2:17" x14ac:dyDescent="0.25">
      <c r="D3" s="2" t="s">
        <v>1</v>
      </c>
    </row>
    <row r="5" spans="2:17" x14ac:dyDescent="0.25">
      <c r="B5" s="3" t="s">
        <v>2</v>
      </c>
      <c r="C5" s="4"/>
      <c r="D5" s="5" t="s">
        <v>4</v>
      </c>
      <c r="E5" s="6" t="s">
        <v>5</v>
      </c>
    </row>
    <row r="7" spans="2:17" ht="24" customHeight="1" x14ac:dyDescent="0.25">
      <c r="B7" s="56" t="s">
        <v>6</v>
      </c>
      <c r="C7" s="54"/>
      <c r="D7" s="54"/>
      <c r="E7" s="54"/>
      <c r="G7" s="56" t="s">
        <v>7</v>
      </c>
      <c r="H7" s="54"/>
      <c r="I7" s="54"/>
      <c r="J7" s="54"/>
      <c r="K7" s="54"/>
      <c r="L7" s="54"/>
    </row>
    <row r="8" spans="2:17" ht="20.100000000000001" customHeight="1" x14ac:dyDescent="0.25">
      <c r="B8" s="7" t="s">
        <v>8</v>
      </c>
      <c r="C8" s="8" t="s">
        <v>9</v>
      </c>
      <c r="D8" s="8"/>
      <c r="E8" s="8" t="s">
        <v>10</v>
      </c>
      <c r="G8" s="9" t="s">
        <v>11</v>
      </c>
      <c r="H8" s="10">
        <f>C12+C19</f>
        <v>0</v>
      </c>
      <c r="I8" s="9" t="s">
        <v>12</v>
      </c>
      <c r="J8" s="11">
        <f>C43</f>
        <v>0</v>
      </c>
      <c r="K8" s="9" t="s">
        <v>13</v>
      </c>
      <c r="L8" s="12">
        <f>H8-J8</f>
        <v>0</v>
      </c>
    </row>
    <row r="9" spans="2:17" x14ac:dyDescent="0.25">
      <c r="B9" s="13" t="s">
        <v>14</v>
      </c>
      <c r="C9" s="14"/>
      <c r="D9" s="13"/>
      <c r="E9" s="15" t="s">
        <v>15</v>
      </c>
    </row>
    <row r="10" spans="2:17" ht="20.100000000000001" customHeight="1" x14ac:dyDescent="0.25">
      <c r="B10" s="13" t="s">
        <v>16</v>
      </c>
      <c r="C10" s="14"/>
      <c r="D10" s="13"/>
      <c r="E10" s="15" t="s">
        <v>17</v>
      </c>
      <c r="G10" s="8" t="s">
        <v>18</v>
      </c>
      <c r="H10" s="8" t="s">
        <v>19</v>
      </c>
      <c r="I10" s="8" t="s">
        <v>20</v>
      </c>
      <c r="J10" s="8" t="s">
        <v>21</v>
      </c>
      <c r="K10" s="8" t="s">
        <v>22</v>
      </c>
      <c r="L10" s="8" t="s">
        <v>23</v>
      </c>
      <c r="O10" t="s">
        <v>18</v>
      </c>
      <c r="P10" t="s">
        <v>24</v>
      </c>
      <c r="Q10" t="s">
        <v>25</v>
      </c>
    </row>
    <row r="11" spans="2:17" ht="21.95" customHeight="1" x14ac:dyDescent="0.25">
      <c r="B11" s="13" t="s">
        <v>26</v>
      </c>
      <c r="C11" s="14"/>
      <c r="D11" s="13"/>
      <c r="E11" s="15"/>
      <c r="G11" s="16" t="s">
        <v>27</v>
      </c>
      <c r="H11" s="17">
        <f>SUMIF($D$23:$D$42, "Necesidades", $C$23:$C$42)</f>
        <v>0</v>
      </c>
      <c r="I11" s="18">
        <f>IF(C12=0, 0, H11/C12)</f>
        <v>0</v>
      </c>
      <c r="J11" s="19">
        <v>0.5</v>
      </c>
      <c r="K11" s="20">
        <f>C12*J11</f>
        <v>0</v>
      </c>
      <c r="L11" s="21" t="str">
        <f>IF(C12=0, "-", IF(I11&lt;=J11, "✅ En el límite", "⚠️ Excedido"))</f>
        <v>-</v>
      </c>
      <c r="O11" t="s">
        <v>27</v>
      </c>
      <c r="P11">
        <v>0.5</v>
      </c>
      <c r="Q11">
        <f>I11</f>
        <v>0</v>
      </c>
    </row>
    <row r="12" spans="2:17" ht="21.95" customHeight="1" x14ac:dyDescent="0.25">
      <c r="B12" s="3" t="s">
        <v>28</v>
      </c>
      <c r="C12" s="22">
        <f>SUM(C9:C11)</f>
        <v>0</v>
      </c>
      <c r="D12" s="13"/>
      <c r="E12" s="13"/>
      <c r="G12" s="23" t="s">
        <v>29</v>
      </c>
      <c r="H12" s="24">
        <f>SUMIF($D$23:$D$42, "Gustos", $C$23:$C$42)</f>
        <v>0</v>
      </c>
      <c r="I12" s="25">
        <f>IF(C12=0, 0, H12/C12)</f>
        <v>0</v>
      </c>
      <c r="J12" s="26">
        <v>0.3</v>
      </c>
      <c r="K12" s="27">
        <f>C12*J12</f>
        <v>0</v>
      </c>
      <c r="L12" s="28" t="str">
        <f>IF(C12=0, "-", IF(I12&lt;=J12, "✅ En el límite", "⚠️ Excedido"))</f>
        <v>-</v>
      </c>
      <c r="O12" t="s">
        <v>29</v>
      </c>
      <c r="P12">
        <v>0.3</v>
      </c>
      <c r="Q12">
        <f>I12</f>
        <v>0</v>
      </c>
    </row>
    <row r="13" spans="2:17" ht="21.95" customHeight="1" x14ac:dyDescent="0.25">
      <c r="G13" s="29" t="s">
        <v>30</v>
      </c>
      <c r="H13" s="30">
        <f>SUMIF($D$23:$D$42, "Ahorro", $C$23:$C$42)</f>
        <v>0</v>
      </c>
      <c r="I13" s="31">
        <f>IF(C12=0, 0, H13/C12)</f>
        <v>0</v>
      </c>
      <c r="J13" s="32">
        <v>0.2</v>
      </c>
      <c r="K13" s="33">
        <f>C12*J13</f>
        <v>0</v>
      </c>
      <c r="L13" s="34" t="str">
        <f>IF(C12=0, "-", IF(I13&gt;=J13, "✅ ¡Meta superada!", "⚠️ Aumentar ahorro"))</f>
        <v>-</v>
      </c>
      <c r="O13" t="s">
        <v>30</v>
      </c>
      <c r="P13">
        <v>0.2</v>
      </c>
      <c r="Q13">
        <f>I13</f>
        <v>0</v>
      </c>
    </row>
    <row r="14" spans="2:17" ht="24" customHeight="1" x14ac:dyDescent="0.25">
      <c r="B14" s="58" t="s">
        <v>31</v>
      </c>
      <c r="C14" s="54"/>
      <c r="D14" s="54"/>
      <c r="E14" s="54"/>
      <c r="G14" s="35" t="s">
        <v>32</v>
      </c>
      <c r="H14" s="36">
        <f>SUM(H11:H13)</f>
        <v>0</v>
      </c>
      <c r="I14" s="37">
        <f>SUM(I11:I13)</f>
        <v>0</v>
      </c>
      <c r="J14" s="38">
        <f>SUM(J11:J13)</f>
        <v>1</v>
      </c>
      <c r="K14" s="39">
        <f>SUM(K11:K13)</f>
        <v>0</v>
      </c>
      <c r="L14" s="13"/>
    </row>
    <row r="15" spans="2:17" ht="20.100000000000001" customHeight="1" x14ac:dyDescent="0.25">
      <c r="B15" s="7" t="s">
        <v>8</v>
      </c>
      <c r="C15" s="8" t="s">
        <v>9</v>
      </c>
      <c r="D15" s="8"/>
      <c r="E15" s="8" t="s">
        <v>10</v>
      </c>
    </row>
    <row r="16" spans="2:17" x14ac:dyDescent="0.25">
      <c r="B16" s="13" t="s">
        <v>33</v>
      </c>
      <c r="C16" s="14"/>
      <c r="D16" s="13"/>
      <c r="E16" s="15" t="s">
        <v>34</v>
      </c>
      <c r="G16" s="57" t="s">
        <v>35</v>
      </c>
      <c r="H16" s="54"/>
      <c r="I16" s="54"/>
      <c r="J16" s="54"/>
      <c r="K16" s="53" t="str">
        <f>IF(H11=0, "0 meses", TEXT((H13*12)/H11, "0.0") &amp; " meses de tranquilidad")</f>
        <v>0 meses</v>
      </c>
      <c r="L16" s="54"/>
    </row>
    <row r="17" spans="2:5" x14ac:dyDescent="0.25">
      <c r="B17" s="13" t="s">
        <v>36</v>
      </c>
      <c r="C17" s="14"/>
      <c r="D17" s="13"/>
      <c r="E17" s="15" t="s">
        <v>37</v>
      </c>
    </row>
    <row r="18" spans="2:5" x14ac:dyDescent="0.25">
      <c r="B18" s="13" t="s">
        <v>38</v>
      </c>
      <c r="C18" s="14"/>
      <c r="D18" s="13"/>
      <c r="E18" s="15"/>
    </row>
    <row r="19" spans="2:5" x14ac:dyDescent="0.25">
      <c r="B19" s="3" t="s">
        <v>39</v>
      </c>
      <c r="C19" s="22">
        <f>SUM(C16:C18)</f>
        <v>0</v>
      </c>
      <c r="D19" s="13"/>
      <c r="E19" s="13"/>
    </row>
    <row r="21" spans="2:5" ht="24" customHeight="1" x14ac:dyDescent="0.25">
      <c r="B21" s="55" t="s">
        <v>40</v>
      </c>
      <c r="C21" s="54"/>
      <c r="D21" s="54"/>
      <c r="E21" s="54"/>
    </row>
    <row r="22" spans="2:5" ht="20.100000000000001" customHeight="1" x14ac:dyDescent="0.25">
      <c r="B22" s="7" t="s">
        <v>8</v>
      </c>
      <c r="C22" s="8" t="s">
        <v>9</v>
      </c>
      <c r="D22" s="8" t="s">
        <v>18</v>
      </c>
      <c r="E22" s="8" t="s">
        <v>41</v>
      </c>
    </row>
    <row r="23" spans="2:5" x14ac:dyDescent="0.25">
      <c r="B23" s="13" t="s">
        <v>42</v>
      </c>
      <c r="C23" s="14"/>
      <c r="D23" s="40" t="s">
        <v>27</v>
      </c>
      <c r="E23" s="15" t="s">
        <v>43</v>
      </c>
    </row>
    <row r="24" spans="2:5" x14ac:dyDescent="0.25">
      <c r="B24" s="13" t="s">
        <v>44</v>
      </c>
      <c r="C24" s="14"/>
      <c r="D24" s="40" t="s">
        <v>27</v>
      </c>
      <c r="E24" s="15" t="s">
        <v>45</v>
      </c>
    </row>
    <row r="25" spans="2:5" x14ac:dyDescent="0.25">
      <c r="B25" s="13" t="s">
        <v>46</v>
      </c>
      <c r="C25" s="14"/>
      <c r="D25" s="40" t="s">
        <v>27</v>
      </c>
      <c r="E25" s="15" t="s">
        <v>47</v>
      </c>
    </row>
    <row r="26" spans="2:5" x14ac:dyDescent="0.25">
      <c r="B26" s="13" t="s">
        <v>48</v>
      </c>
      <c r="C26" s="14"/>
      <c r="D26" s="40" t="s">
        <v>27</v>
      </c>
      <c r="E26" s="15" t="s">
        <v>49</v>
      </c>
    </row>
    <row r="27" spans="2:5" x14ac:dyDescent="0.25">
      <c r="B27" s="13" t="s">
        <v>50</v>
      </c>
      <c r="C27" s="14"/>
      <c r="D27" s="40" t="s">
        <v>27</v>
      </c>
      <c r="E27" s="15" t="s">
        <v>51</v>
      </c>
    </row>
    <row r="28" spans="2:5" x14ac:dyDescent="0.25">
      <c r="B28" s="13" t="s">
        <v>52</v>
      </c>
      <c r="C28" s="14"/>
      <c r="D28" s="40" t="s">
        <v>27</v>
      </c>
      <c r="E28" s="15" t="s">
        <v>53</v>
      </c>
    </row>
    <row r="29" spans="2:5" x14ac:dyDescent="0.25">
      <c r="B29" s="13" t="s">
        <v>54</v>
      </c>
      <c r="C29" s="14"/>
      <c r="D29" s="40" t="s">
        <v>27</v>
      </c>
      <c r="E29" s="15" t="s">
        <v>55</v>
      </c>
    </row>
    <row r="30" spans="2:5" x14ac:dyDescent="0.25">
      <c r="B30" s="13" t="s">
        <v>56</v>
      </c>
      <c r="C30" s="14"/>
      <c r="D30" s="40" t="s">
        <v>29</v>
      </c>
      <c r="E30" s="15" t="s">
        <v>57</v>
      </c>
    </row>
    <row r="31" spans="2:5" x14ac:dyDescent="0.25">
      <c r="B31" s="13" t="s">
        <v>58</v>
      </c>
      <c r="C31" s="14"/>
      <c r="D31" s="40" t="s">
        <v>29</v>
      </c>
      <c r="E31" s="15" t="s">
        <v>59</v>
      </c>
    </row>
    <row r="32" spans="2:5" x14ac:dyDescent="0.25">
      <c r="B32" s="13" t="s">
        <v>60</v>
      </c>
      <c r="C32" s="14"/>
      <c r="D32" s="40" t="s">
        <v>29</v>
      </c>
      <c r="E32" s="15" t="s">
        <v>61</v>
      </c>
    </row>
    <row r="33" spans="2:5" x14ac:dyDescent="0.25">
      <c r="B33" s="13" t="s">
        <v>62</v>
      </c>
      <c r="C33" s="14"/>
      <c r="D33" s="40" t="s">
        <v>29</v>
      </c>
      <c r="E33" s="15" t="s">
        <v>63</v>
      </c>
    </row>
    <row r="34" spans="2:5" x14ac:dyDescent="0.25">
      <c r="B34" s="13" t="s">
        <v>64</v>
      </c>
      <c r="C34" s="14"/>
      <c r="D34" s="40" t="s">
        <v>29</v>
      </c>
      <c r="E34" s="15" t="s">
        <v>65</v>
      </c>
    </row>
    <row r="35" spans="2:5" x14ac:dyDescent="0.25">
      <c r="B35" s="13" t="s">
        <v>66</v>
      </c>
      <c r="C35" s="14"/>
      <c r="D35" s="40" t="s">
        <v>29</v>
      </c>
      <c r="E35" s="15" t="s">
        <v>67</v>
      </c>
    </row>
    <row r="36" spans="2:5" x14ac:dyDescent="0.25">
      <c r="B36" s="13" t="s">
        <v>68</v>
      </c>
      <c r="C36" s="14"/>
      <c r="D36" s="40" t="s">
        <v>30</v>
      </c>
      <c r="E36" s="15" t="s">
        <v>69</v>
      </c>
    </row>
    <row r="37" spans="2:5" x14ac:dyDescent="0.25">
      <c r="B37" s="13" t="s">
        <v>70</v>
      </c>
      <c r="C37" s="14"/>
      <c r="D37" s="40" t="s">
        <v>30</v>
      </c>
      <c r="E37" s="15" t="s">
        <v>71</v>
      </c>
    </row>
    <row r="38" spans="2:5" x14ac:dyDescent="0.25">
      <c r="B38" s="13" t="s">
        <v>72</v>
      </c>
      <c r="C38" s="14"/>
      <c r="D38" s="40" t="s">
        <v>29</v>
      </c>
      <c r="E38" s="15"/>
    </row>
    <row r="39" spans="2:5" x14ac:dyDescent="0.25">
      <c r="B39" s="13" t="s">
        <v>73</v>
      </c>
      <c r="C39" s="14"/>
      <c r="D39" s="40" t="s">
        <v>27</v>
      </c>
      <c r="E39" s="15"/>
    </row>
    <row r="40" spans="2:5" x14ac:dyDescent="0.25">
      <c r="B40" s="41"/>
      <c r="C40" s="14"/>
      <c r="D40" s="40"/>
      <c r="E40" s="15"/>
    </row>
    <row r="41" spans="2:5" x14ac:dyDescent="0.25">
      <c r="B41" s="41"/>
      <c r="C41" s="14"/>
      <c r="D41" s="40"/>
      <c r="E41" s="15"/>
    </row>
    <row r="42" spans="2:5" x14ac:dyDescent="0.25">
      <c r="B42" s="41"/>
      <c r="C42" s="14"/>
      <c r="D42" s="40"/>
      <c r="E42" s="15"/>
    </row>
    <row r="43" spans="2:5" x14ac:dyDescent="0.25">
      <c r="B43" s="3" t="s">
        <v>74</v>
      </c>
      <c r="C43" s="22">
        <f>SUM(C23:C42)</f>
        <v>0</v>
      </c>
      <c r="D43" s="13"/>
      <c r="E43" s="13"/>
    </row>
  </sheetData>
  <mergeCells count="6">
    <mergeCell ref="K16:L16"/>
    <mergeCell ref="B21:E21"/>
    <mergeCell ref="B7:E7"/>
    <mergeCell ref="G16:J16"/>
    <mergeCell ref="B14:E14"/>
    <mergeCell ref="G7:L7"/>
  </mergeCells>
  <dataValidations count="1">
    <dataValidation type="list" allowBlank="1" error="Por favor selecciona: Necesidades, Gustos o Ahorro" sqref="D23 D24 D25 D26 D27 D28 D29 D30 D31 D32 D33 D34 D35 D36 D37 D38 D39 D40 D41 D42">
      <formula1>"Necesidades,Gustos,Ahorro"</formula1>
    </dataValidation>
  </dataValidations>
  <pageMargins left="0.75" right="0.75" top="1" bottom="1" header="0.5" footer="0.5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/>
  </sheetViews>
  <sheetFormatPr baseColWidth="10" defaultColWidth="9.140625" defaultRowHeight="15" x14ac:dyDescent="0.25"/>
  <cols>
    <col min="1" max="1" width="2" customWidth="1"/>
    <col min="2" max="2" width="34" customWidth="1"/>
    <col min="3" max="4" width="18" customWidth="1"/>
    <col min="5" max="5" width="28" customWidth="1"/>
    <col min="6" max="6" width="2" customWidth="1"/>
  </cols>
  <sheetData>
    <row r="2" spans="2:5" ht="18.75" x14ac:dyDescent="0.3">
      <c r="B2" s="42" t="s">
        <v>75</v>
      </c>
    </row>
    <row r="3" spans="2:5" x14ac:dyDescent="0.25">
      <c r="B3" s="2" t="s">
        <v>76</v>
      </c>
    </row>
    <row r="5" spans="2:5" x14ac:dyDescent="0.25">
      <c r="B5" s="43" t="s">
        <v>77</v>
      </c>
      <c r="C5" s="44" t="s">
        <v>78</v>
      </c>
      <c r="D5" s="44" t="s">
        <v>79</v>
      </c>
      <c r="E5" s="44" t="s">
        <v>80</v>
      </c>
    </row>
    <row r="6" spans="2:5" x14ac:dyDescent="0.25">
      <c r="B6" s="13" t="s">
        <v>81</v>
      </c>
      <c r="C6" s="14">
        <v>600</v>
      </c>
      <c r="D6" s="45">
        <f t="shared" ref="D6:D14" si="0">IF(C6=0, 0, C6/12)</f>
        <v>50</v>
      </c>
      <c r="E6" s="40" t="s">
        <v>27</v>
      </c>
    </row>
    <row r="7" spans="2:5" x14ac:dyDescent="0.25">
      <c r="B7" s="13" t="s">
        <v>82</v>
      </c>
      <c r="C7" s="14">
        <v>300</v>
      </c>
      <c r="D7" s="45">
        <f t="shared" si="0"/>
        <v>25</v>
      </c>
      <c r="E7" s="40" t="s">
        <v>27</v>
      </c>
    </row>
    <row r="8" spans="2:5" x14ac:dyDescent="0.25">
      <c r="B8" s="13" t="s">
        <v>83</v>
      </c>
      <c r="C8" s="14">
        <v>240</v>
      </c>
      <c r="D8" s="45">
        <f t="shared" si="0"/>
        <v>20</v>
      </c>
      <c r="E8" s="40" t="s">
        <v>27</v>
      </c>
    </row>
    <row r="9" spans="2:5" x14ac:dyDescent="0.25">
      <c r="B9" s="13" t="s">
        <v>84</v>
      </c>
      <c r="C9" s="14">
        <v>480</v>
      </c>
      <c r="D9" s="45">
        <f t="shared" si="0"/>
        <v>40</v>
      </c>
      <c r="E9" s="40" t="s">
        <v>27</v>
      </c>
    </row>
    <row r="10" spans="2:5" x14ac:dyDescent="0.25">
      <c r="B10" s="13" t="s">
        <v>85</v>
      </c>
      <c r="C10" s="14">
        <v>120</v>
      </c>
      <c r="D10" s="45">
        <f t="shared" si="0"/>
        <v>10</v>
      </c>
      <c r="E10" s="40" t="s">
        <v>27</v>
      </c>
    </row>
    <row r="11" spans="2:5" x14ac:dyDescent="0.25">
      <c r="B11" s="13" t="s">
        <v>86</v>
      </c>
      <c r="C11" s="14">
        <v>240</v>
      </c>
      <c r="D11" s="45">
        <f t="shared" si="0"/>
        <v>20</v>
      </c>
      <c r="E11" s="40" t="s">
        <v>29</v>
      </c>
    </row>
    <row r="12" spans="2:5" x14ac:dyDescent="0.25">
      <c r="B12" s="13" t="s">
        <v>87</v>
      </c>
      <c r="C12" s="14">
        <v>600</v>
      </c>
      <c r="D12" s="45">
        <f t="shared" si="0"/>
        <v>50</v>
      </c>
      <c r="E12" s="40" t="s">
        <v>29</v>
      </c>
    </row>
    <row r="13" spans="2:5" x14ac:dyDescent="0.25">
      <c r="B13" s="13"/>
      <c r="C13" s="14"/>
      <c r="D13" s="45">
        <f t="shared" si="0"/>
        <v>0</v>
      </c>
      <c r="E13" s="40"/>
    </row>
    <row r="14" spans="2:5" x14ac:dyDescent="0.25">
      <c r="B14" s="13"/>
      <c r="C14" s="14"/>
      <c r="D14" s="45">
        <f t="shared" si="0"/>
        <v>0</v>
      </c>
      <c r="E14" s="40"/>
    </row>
    <row r="15" spans="2:5" x14ac:dyDescent="0.25">
      <c r="B15" s="46" t="s">
        <v>88</v>
      </c>
      <c r="C15" s="47">
        <f>SUM(C6:C14)</f>
        <v>2580</v>
      </c>
      <c r="D15" s="12">
        <f>SUM(D6:D14)</f>
        <v>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5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85" customWidth="1"/>
  </cols>
  <sheetData>
    <row r="2" spans="2:2" ht="19.5" x14ac:dyDescent="0.3">
      <c r="B2" s="48" t="s">
        <v>89</v>
      </c>
    </row>
    <row r="3" spans="2:2" x14ac:dyDescent="0.25">
      <c r="B3" s="2" t="s">
        <v>90</v>
      </c>
    </row>
    <row r="5" spans="2:2" x14ac:dyDescent="0.25">
      <c r="B5" s="49" t="s">
        <v>91</v>
      </c>
    </row>
    <row r="6" spans="2:2" x14ac:dyDescent="0.25">
      <c r="B6" s="50" t="s">
        <v>92</v>
      </c>
    </row>
    <row r="7" spans="2:2" x14ac:dyDescent="0.25">
      <c r="B7" s="50" t="s">
        <v>93</v>
      </c>
    </row>
    <row r="8" spans="2:2" x14ac:dyDescent="0.25">
      <c r="B8" s="50" t="s">
        <v>94</v>
      </c>
    </row>
    <row r="10" spans="2:2" x14ac:dyDescent="0.25">
      <c r="B10" s="49" t="s">
        <v>95</v>
      </c>
    </row>
    <row r="11" spans="2:2" x14ac:dyDescent="0.25">
      <c r="B11" s="50" t="s">
        <v>96</v>
      </c>
    </row>
    <row r="12" spans="2:2" x14ac:dyDescent="0.25">
      <c r="B12" s="50" t="s">
        <v>97</v>
      </c>
    </row>
    <row r="13" spans="2:2" x14ac:dyDescent="0.25">
      <c r="B13" s="50" t="s">
        <v>98</v>
      </c>
    </row>
    <row r="15" spans="2:2" x14ac:dyDescent="0.25">
      <c r="B15" s="49" t="s">
        <v>99</v>
      </c>
    </row>
    <row r="16" spans="2:2" x14ac:dyDescent="0.25">
      <c r="B16" s="50" t="s">
        <v>100</v>
      </c>
    </row>
    <row r="17" spans="2:2" x14ac:dyDescent="0.25">
      <c r="B17" s="50" t="s">
        <v>101</v>
      </c>
    </row>
    <row r="18" spans="2:2" x14ac:dyDescent="0.25">
      <c r="B18" s="50" t="s">
        <v>102</v>
      </c>
    </row>
    <row r="19" spans="2:2" x14ac:dyDescent="0.25">
      <c r="B19" s="50" t="s">
        <v>103</v>
      </c>
    </row>
    <row r="20" spans="2:2" x14ac:dyDescent="0.25">
      <c r="B20" s="51" t="s">
        <v>104</v>
      </c>
    </row>
    <row r="22" spans="2:2" x14ac:dyDescent="0.25">
      <c r="B22" s="49" t="s">
        <v>105</v>
      </c>
    </row>
    <row r="23" spans="2:2" x14ac:dyDescent="0.25">
      <c r="B23" s="50" t="s">
        <v>106</v>
      </c>
    </row>
    <row r="24" spans="2:2" x14ac:dyDescent="0.25">
      <c r="B24" s="52" t="s">
        <v>107</v>
      </c>
    </row>
    <row r="25" spans="2:2" x14ac:dyDescent="0.25">
      <c r="B25" s="9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Ejemplo 50-30-20</vt:lpstr>
      <vt:lpstr>Mi Presupuesto</vt:lpstr>
      <vt:lpstr>Gastos Anuales</vt:lpstr>
      <vt:lpstr>Guía y Consejos Rosed</vt:lpstr>
      <vt:lpstr>'Ejemplo 50-30-20'!Área_de_impresión</vt:lpstr>
      <vt:lpstr>'Mi Presupuesto'!Área_de_impresión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2026-10-13T00:26:00Z</dcterms:created>
  <dcterms:modified xsi:type="dcterms:W3CDTF">2026-10-13T00:26:04Z</dcterms:modified>
</cp:coreProperties>
</file>